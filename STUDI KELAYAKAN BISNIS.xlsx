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46CEAF49-9D14-41E2-88D7-73BAF29E3A39}" xr6:coauthVersionLast="47" xr6:coauthVersionMax="47" xr10:uidLastSave="{00000000-0000-0000-0000-000000000000}"/>
  <bookViews>
    <workbookView xWindow="-108" yWindow="-108" windowWidth="23256" windowHeight="12456" firstSheet="3" activeTab="6" xr2:uid="{00000000-000D-0000-FFFF-FFFF00000000}"/>
  </bookViews>
  <sheets>
    <sheet name="PERALATAN" sheetId="1" r:id="rId1"/>
    <sheet name="BAHAN HABIS PAKAI" sheetId="2" r:id="rId2"/>
    <sheet name="PENYUSUTAN" sheetId="3" r:id="rId3"/>
    <sheet name="BIAYA OPERASIONAL" sheetId="5" r:id="rId4"/>
    <sheet name="TOTAL INVESTASI" sheetId="4" r:id="rId5"/>
    <sheet name="HPP" sheetId="6" r:id="rId6"/>
    <sheet name="BEP" sheetId="7" r:id="rId7"/>
    <sheet name="cash flow" sheetId="11" r:id="rId8"/>
    <sheet name="laporan laba rvgi" sheetId="12" r:id="rId9"/>
    <sheet name="stvdi kelayakan" sheetId="14" r:id="rId10"/>
  </sheets>
  <calcPr calcId="191029"/>
</workbook>
</file>

<file path=xl/calcChain.xml><?xml version="1.0" encoding="utf-8"?>
<calcChain xmlns="http://schemas.openxmlformats.org/spreadsheetml/2006/main">
  <c r="C11" i="7" l="1"/>
  <c r="C10" i="7"/>
  <c r="G14" i="5"/>
  <c r="G13" i="5"/>
  <c r="G15" i="5" s="1"/>
  <c r="G9" i="5"/>
  <c r="G8" i="5"/>
  <c r="G10" i="5" s="1"/>
  <c r="C5" i="6" s="1"/>
  <c r="G4" i="5"/>
  <c r="G3" i="5"/>
  <c r="C3" i="7"/>
  <c r="C4" i="7" s="1"/>
  <c r="D22" i="3"/>
  <c r="E22" i="3"/>
  <c r="C22" i="3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2" i="2"/>
  <c r="F3" i="3"/>
  <c r="H3" i="3" s="1"/>
  <c r="F4" i="3"/>
  <c r="G4" i="3" s="1"/>
  <c r="F5" i="3"/>
  <c r="G5" i="3" s="1"/>
  <c r="F6" i="3"/>
  <c r="G6" i="3" s="1"/>
  <c r="F7" i="3"/>
  <c r="H7" i="3" s="1"/>
  <c r="G7" i="3"/>
  <c r="F8" i="3"/>
  <c r="G8" i="3" s="1"/>
  <c r="H8" i="3"/>
  <c r="F9" i="3"/>
  <c r="G9" i="3" s="1"/>
  <c r="F10" i="3"/>
  <c r="G10" i="3" s="1"/>
  <c r="H10" i="3"/>
  <c r="F11" i="3"/>
  <c r="H11" i="3" s="1"/>
  <c r="G11" i="3"/>
  <c r="F12" i="3"/>
  <c r="G12" i="3" s="1"/>
  <c r="F13" i="3"/>
  <c r="H13" i="3" s="1"/>
  <c r="F14" i="3"/>
  <c r="G14" i="3" s="1"/>
  <c r="F15" i="3"/>
  <c r="G15" i="3" s="1"/>
  <c r="F16" i="3"/>
  <c r="G16" i="3" s="1"/>
  <c r="F17" i="3"/>
  <c r="G17" i="3" s="1"/>
  <c r="F18" i="3"/>
  <c r="G18" i="3" s="1"/>
  <c r="F19" i="3"/>
  <c r="H19" i="3" s="1"/>
  <c r="F20" i="3"/>
  <c r="G20" i="3" s="1"/>
  <c r="F2" i="3"/>
  <c r="H2" i="3" s="1"/>
  <c r="G12" i="1"/>
  <c r="G11" i="1"/>
  <c r="G10" i="1"/>
  <c r="G9" i="1"/>
  <c r="G8" i="1"/>
  <c r="G7" i="1"/>
  <c r="G6" i="1"/>
  <c r="G5" i="1"/>
  <c r="G4" i="1"/>
  <c r="G3" i="1"/>
  <c r="G2" i="1"/>
  <c r="G5" i="5" l="1"/>
  <c r="H18" i="3"/>
  <c r="H17" i="3"/>
  <c r="G19" i="3"/>
  <c r="H16" i="3"/>
  <c r="G13" i="3"/>
  <c r="G22" i="3" s="1"/>
  <c r="F22" i="3"/>
  <c r="G3" i="3"/>
  <c r="H9" i="3"/>
  <c r="H5" i="3"/>
  <c r="H15" i="3"/>
  <c r="H20" i="3"/>
  <c r="H12" i="3"/>
  <c r="H4" i="3"/>
  <c r="H14" i="3"/>
  <c r="H22" i="3" s="1"/>
  <c r="H6" i="3"/>
  <c r="G2" i="3" l="1"/>
  <c r="G40" i="2"/>
  <c r="G16" i="1"/>
  <c r="C8" i="6" l="1"/>
  <c r="C2" i="6" l="1"/>
  <c r="J6" i="14" l="1"/>
  <c r="G6" i="14"/>
  <c r="C6" i="11"/>
  <c r="D6" i="11"/>
  <c r="E6" i="11"/>
  <c r="F6" i="11"/>
  <c r="G6" i="11"/>
  <c r="H6" i="11"/>
  <c r="I6" i="11"/>
  <c r="J6" i="11"/>
  <c r="K6" i="11"/>
  <c r="L6" i="11"/>
  <c r="M6" i="11"/>
  <c r="C6" i="6"/>
  <c r="D10" i="11" s="1"/>
  <c r="C3" i="6"/>
  <c r="C2" i="4" l="1"/>
  <c r="C4" i="4"/>
  <c r="D8" i="11"/>
  <c r="C5" i="4"/>
  <c r="M10" i="11"/>
  <c r="K10" i="11"/>
  <c r="I10" i="11"/>
  <c r="G10" i="11"/>
  <c r="E10" i="11"/>
  <c r="C10" i="11"/>
  <c r="B8" i="11"/>
  <c r="F8" i="11"/>
  <c r="B10" i="11"/>
  <c r="L10" i="11"/>
  <c r="J10" i="11"/>
  <c r="H10" i="11"/>
  <c r="F10" i="11"/>
  <c r="J8" i="11" l="1"/>
  <c r="G8" i="11"/>
  <c r="C8" i="11"/>
  <c r="K8" i="11"/>
  <c r="H8" i="11"/>
  <c r="L8" i="11"/>
  <c r="C8" i="7"/>
  <c r="E8" i="11"/>
  <c r="I8" i="11"/>
  <c r="M8" i="11"/>
  <c r="C7" i="7"/>
  <c r="C3" i="4"/>
  <c r="C6" i="4" s="1"/>
  <c r="B7" i="12"/>
  <c r="C4" i="6"/>
  <c r="B6" i="11"/>
  <c r="C7" i="6" l="1"/>
  <c r="C9" i="7"/>
  <c r="D9" i="11"/>
  <c r="D5" i="12" s="1"/>
  <c r="K9" i="11"/>
  <c r="K5" i="12" s="1"/>
  <c r="H9" i="11"/>
  <c r="H5" i="12" s="1"/>
  <c r="I9" i="11"/>
  <c r="I5" i="12" s="1"/>
  <c r="F9" i="11"/>
  <c r="F5" i="12" s="1"/>
  <c r="G9" i="11"/>
  <c r="G5" i="12" s="1"/>
  <c r="C9" i="11"/>
  <c r="C5" i="12" s="1"/>
  <c r="E9" i="11"/>
  <c r="E5" i="12" s="1"/>
  <c r="B9" i="11"/>
  <c r="B5" i="12" s="1"/>
  <c r="L9" i="11"/>
  <c r="L5" i="12" s="1"/>
  <c r="M9" i="11"/>
  <c r="M5" i="12" s="1"/>
  <c r="J9" i="11"/>
  <c r="J5" i="12" s="1"/>
  <c r="D7" i="11"/>
  <c r="D3" i="12" s="1"/>
  <c r="I7" i="11"/>
  <c r="E7" i="11"/>
  <c r="M7" i="11"/>
  <c r="H7" i="11"/>
  <c r="L7" i="11"/>
  <c r="L3" i="12" s="1"/>
  <c r="K7" i="11"/>
  <c r="K3" i="12" s="1"/>
  <c r="J7" i="11"/>
  <c r="J3" i="12" s="1"/>
  <c r="C7" i="11"/>
  <c r="F7" i="11"/>
  <c r="F3" i="12" s="1"/>
  <c r="G7" i="11"/>
  <c r="B7" i="11"/>
  <c r="B3" i="12" s="1"/>
  <c r="D6" i="14"/>
  <c r="B4" i="11"/>
  <c r="E11" i="11" l="1"/>
  <c r="M11" i="11"/>
  <c r="G11" i="11"/>
  <c r="D11" i="11"/>
  <c r="M3" i="12"/>
  <c r="K11" i="11"/>
  <c r="F11" i="11"/>
  <c r="G3" i="12"/>
  <c r="E3" i="12"/>
  <c r="I11" i="11"/>
  <c r="I3" i="12"/>
  <c r="H3" i="12"/>
  <c r="H11" i="11"/>
  <c r="L11" i="11"/>
  <c r="J11" i="11"/>
  <c r="B11" i="11"/>
  <c r="C11" i="11"/>
  <c r="C3" i="12"/>
  <c r="H9" i="14"/>
  <c r="K9" i="14" s="1"/>
  <c r="E7" i="12"/>
  <c r="I7" i="12"/>
  <c r="M7" i="12"/>
  <c r="F7" i="12"/>
  <c r="J7" i="12"/>
  <c r="C9" i="6"/>
  <c r="C11" i="6" s="1"/>
  <c r="C7" i="12"/>
  <c r="G7" i="12"/>
  <c r="K7" i="12"/>
  <c r="D7" i="12"/>
  <c r="H7" i="12"/>
  <c r="L7" i="12"/>
  <c r="B12" i="11" l="1"/>
  <c r="C17" i="14"/>
  <c r="C14" i="7"/>
  <c r="K14" i="11" l="1"/>
  <c r="K15" i="11" s="1"/>
  <c r="E14" i="11"/>
  <c r="E15" i="11" s="1"/>
  <c r="C15" i="7"/>
  <c r="H14" i="11"/>
  <c r="H15" i="11" s="1"/>
  <c r="J14" i="11"/>
  <c r="J15" i="11" s="1"/>
  <c r="M14" i="11"/>
  <c r="M15" i="11" s="1"/>
  <c r="C14" i="11"/>
  <c r="C15" i="11" s="1"/>
  <c r="F14" i="11"/>
  <c r="F2" i="12" s="1"/>
  <c r="F4" i="12" s="1"/>
  <c r="F6" i="12" s="1"/>
  <c r="F8" i="12" s="1"/>
  <c r="G22" i="14" s="1"/>
  <c r="B14" i="11"/>
  <c r="B2" i="12" s="1"/>
  <c r="B4" i="12" s="1"/>
  <c r="B6" i="12" s="1"/>
  <c r="B8" i="12" s="1"/>
  <c r="I14" i="11"/>
  <c r="I2" i="12" s="1"/>
  <c r="I4" i="12" s="1"/>
  <c r="I6" i="12" s="1"/>
  <c r="I8" i="12" s="1"/>
  <c r="J22" i="14" s="1"/>
  <c r="D14" i="11"/>
  <c r="D2" i="12" s="1"/>
  <c r="D4" i="12" s="1"/>
  <c r="D6" i="12" s="1"/>
  <c r="D8" i="12" s="1"/>
  <c r="E22" i="14" s="1"/>
  <c r="L14" i="11"/>
  <c r="L2" i="12" s="1"/>
  <c r="L4" i="12" s="1"/>
  <c r="L6" i="12" s="1"/>
  <c r="L8" i="12" s="1"/>
  <c r="M22" i="14" s="1"/>
  <c r="G14" i="11"/>
  <c r="G2" i="12" s="1"/>
  <c r="G4" i="12" s="1"/>
  <c r="G6" i="12" s="1"/>
  <c r="G8" i="12" s="1"/>
  <c r="H22" i="14" s="1"/>
  <c r="E2" i="12"/>
  <c r="E4" i="12" s="1"/>
  <c r="E6" i="12" s="1"/>
  <c r="E8" i="12" s="1"/>
  <c r="F22" i="14" s="1"/>
  <c r="C2" i="12"/>
  <c r="C4" i="12" s="1"/>
  <c r="C6" i="12" s="1"/>
  <c r="C8" i="12" s="1"/>
  <c r="D22" i="14" s="1"/>
  <c r="K2" i="12"/>
  <c r="K4" i="12" s="1"/>
  <c r="K6" i="12" s="1"/>
  <c r="K8" i="12" s="1"/>
  <c r="L22" i="14" s="1"/>
  <c r="M2" i="12" l="1"/>
  <c r="M4" i="12" s="1"/>
  <c r="M6" i="12" s="1"/>
  <c r="M8" i="12" s="1"/>
  <c r="N22" i="14" s="1"/>
  <c r="C16" i="7"/>
  <c r="D15" i="11"/>
  <c r="J2" i="12"/>
  <c r="J4" i="12" s="1"/>
  <c r="J6" i="12" s="1"/>
  <c r="J8" i="12" s="1"/>
  <c r="K22" i="14" s="1"/>
  <c r="F15" i="11"/>
  <c r="H2" i="12"/>
  <c r="H4" i="12" s="1"/>
  <c r="H6" i="12" s="1"/>
  <c r="H8" i="12" s="1"/>
  <c r="I22" i="14" s="1"/>
  <c r="B15" i="11"/>
  <c r="B16" i="11" s="1"/>
  <c r="C4" i="11" s="1"/>
  <c r="C12" i="11" s="1"/>
  <c r="C16" i="11" s="1"/>
  <c r="D4" i="11" s="1"/>
  <c r="D12" i="11" s="1"/>
  <c r="G15" i="11"/>
  <c r="I15" i="11"/>
  <c r="L15" i="11"/>
  <c r="B9" i="12"/>
  <c r="C9" i="12" s="1"/>
  <c r="D9" i="12" s="1"/>
  <c r="E9" i="12" s="1"/>
  <c r="F9" i="12" s="1"/>
  <c r="G9" i="12" s="1"/>
  <c r="C22" i="14"/>
  <c r="C23" i="14" s="1"/>
  <c r="D23" i="14" s="1"/>
  <c r="E23" i="14" s="1"/>
  <c r="F23" i="14" s="1"/>
  <c r="G23" i="14" s="1"/>
  <c r="H23" i="14" s="1"/>
  <c r="D16" i="11" l="1"/>
  <c r="E4" i="11" s="1"/>
  <c r="E12" i="11" s="1"/>
  <c r="E16" i="11" s="1"/>
  <c r="F4" i="11" s="1"/>
  <c r="F12" i="11" s="1"/>
  <c r="F16" i="11" s="1"/>
  <c r="G4" i="11" s="1"/>
  <c r="G12" i="11" s="1"/>
  <c r="G16" i="11" s="1"/>
  <c r="H4" i="11" s="1"/>
  <c r="H12" i="11" s="1"/>
  <c r="H16" i="11" s="1"/>
  <c r="I4" i="11" s="1"/>
  <c r="I12" i="11" s="1"/>
  <c r="I16" i="11" s="1"/>
  <c r="J4" i="11" s="1"/>
  <c r="J12" i="11" s="1"/>
  <c r="J16" i="11" s="1"/>
  <c r="K4" i="11" s="1"/>
  <c r="K12" i="11" s="1"/>
  <c r="K16" i="11" s="1"/>
  <c r="L4" i="11" s="1"/>
  <c r="L12" i="11" s="1"/>
  <c r="L16" i="11" s="1"/>
  <c r="M4" i="11" s="1"/>
  <c r="M12" i="11" s="1"/>
  <c r="M16" i="11" s="1"/>
  <c r="H9" i="12"/>
  <c r="I9" i="12" s="1"/>
  <c r="J9" i="12" s="1"/>
  <c r="K9" i="12" s="1"/>
  <c r="L9" i="12" s="1"/>
  <c r="M9" i="12" s="1"/>
  <c r="C6" i="14" s="1"/>
  <c r="E6" i="14" s="1"/>
  <c r="K6" i="14" s="1"/>
  <c r="I23" i="14"/>
  <c r="J23" i="14" s="1"/>
  <c r="K23" i="14" s="1"/>
  <c r="L23" i="14" s="1"/>
  <c r="M23" i="14" s="1"/>
  <c r="N23" i="14" s="1"/>
  <c r="C16" i="14"/>
  <c r="C18" i="14" s="1"/>
  <c r="H6" i="14" l="1"/>
  <c r="K7" i="14"/>
  <c r="K8" i="14" s="1"/>
  <c r="K10" i="14" s="1"/>
  <c r="H7" i="14"/>
  <c r="H8" i="14" l="1"/>
  <c r="H10" i="14" s="1"/>
  <c r="C13" i="14" s="1"/>
</calcChain>
</file>

<file path=xl/sharedStrings.xml><?xml version="1.0" encoding="utf-8"?>
<sst xmlns="http://schemas.openxmlformats.org/spreadsheetml/2006/main" count="197" uniqueCount="137">
  <si>
    <t>NO</t>
  </si>
  <si>
    <t>KETERANGAN</t>
  </si>
  <si>
    <t>KUANTITAS</t>
  </si>
  <si>
    <t>SATUAN</t>
  </si>
  <si>
    <t>HARGA</t>
  </si>
  <si>
    <t>JUMLAH</t>
  </si>
  <si>
    <t>TOTAL</t>
  </si>
  <si>
    <t>KAPASITAS PRODUKSI PERBULAN</t>
  </si>
  <si>
    <t>PENYUSUTAN PERTAHUN</t>
  </si>
  <si>
    <t>PENYUSUTAN PERBULAN</t>
  </si>
  <si>
    <t>PENYUSUTAN PERUNIT</t>
  </si>
  <si>
    <t>LAIN-LAIN</t>
  </si>
  <si>
    <t>BULAN</t>
  </si>
  <si>
    <t>BIAYA BAHAN BAKU</t>
  </si>
  <si>
    <t>BEP PERBULAN</t>
  </si>
  <si>
    <t>PERBULAN</t>
  </si>
  <si>
    <t>PENYUSUTAN</t>
  </si>
  <si>
    <t>CASH FLOW</t>
  </si>
  <si>
    <t>SISA KAS</t>
  </si>
  <si>
    <t>JUMLAH/BULAN</t>
  </si>
  <si>
    <t>PERTUMBUHAN KEUNTUNGAN</t>
  </si>
  <si>
    <t>NPV</t>
  </si>
  <si>
    <t>HPP</t>
  </si>
  <si>
    <t>BAHAN HABIS PAKAI</t>
  </si>
  <si>
    <t>PEMBELIAN PERALATAN</t>
  </si>
  <si>
    <t>PERLENGKAPAN YAG DIPERLUKAN</t>
  </si>
  <si>
    <t>JUMLAH (TOTAL INVESTASI)</t>
  </si>
  <si>
    <t>PERJALANAN PRODUKSI</t>
  </si>
  <si>
    <t>HARGA OPERASIONAL</t>
  </si>
  <si>
    <t>BEBAN DEPRESIASI(PENYUSUTAN)</t>
  </si>
  <si>
    <t>HARGA SEBELUM LABA</t>
  </si>
  <si>
    <t>LABA</t>
  </si>
  <si>
    <t>PEMBULATAN HARGA JUAL</t>
  </si>
  <si>
    <t>HARGA JUAL</t>
  </si>
  <si>
    <t>PERJALANAN PEMASARAN</t>
  </si>
  <si>
    <t>TOTAL VARIABEL COST</t>
  </si>
  <si>
    <t>(C-B)</t>
  </si>
  <si>
    <t>BEP UNIT (A/C-B)</t>
  </si>
  <si>
    <t>VARIABLE COST (B)</t>
  </si>
  <si>
    <t>TOTAL FIX COST (A)</t>
  </si>
  <si>
    <t>PEMBULATAN HARGA JUAL (C)</t>
  </si>
  <si>
    <t>BULAN KE</t>
  </si>
  <si>
    <t>RENCANA PRODUKSI</t>
  </si>
  <si>
    <t>CASH IN FLOW</t>
  </si>
  <si>
    <t>KAS TERSEDIA (AKHIR BULAN)</t>
  </si>
  <si>
    <t>HASIL PENJUALAN</t>
  </si>
  <si>
    <t>KAS TERSEDIA AWAL BULAN</t>
  </si>
  <si>
    <t>PERLENGKAPAN  YANG DIPERLUKAN</t>
  </si>
  <si>
    <t>PEMASARAN (D)</t>
  </si>
  <si>
    <t>LABA OPERASIONAL (E)=(C-D)</t>
  </si>
  <si>
    <t>DEPRESIASI (F)</t>
  </si>
  <si>
    <t>df +</t>
  </si>
  <si>
    <t>df -</t>
  </si>
  <si>
    <t xml:space="preserve">Tahun </t>
  </si>
  <si>
    <t>INVESTASI AWAL</t>
  </si>
  <si>
    <t>JUMLAH PRESENT VALUE</t>
  </si>
  <si>
    <t>PRESENT VALUE SISA KAS BERSIH AKHIR PERIODE</t>
  </si>
  <si>
    <t>IRR</t>
  </si>
  <si>
    <t>R/C RATIO TAHUN 1</t>
  </si>
  <si>
    <t>COST</t>
  </si>
  <si>
    <t xml:space="preserve">R/C </t>
  </si>
  <si>
    <t>PAY BACK PERIOD</t>
  </si>
  <si>
    <t>TOTAL KAS MASUK</t>
  </si>
  <si>
    <t>PERTUMBUHAN KAS MASUK</t>
  </si>
  <si>
    <t>CASH OUT FLOW</t>
  </si>
  <si>
    <t>PENENTUAN HARGA/PCS</t>
  </si>
  <si>
    <t>BIAYA LAIN-LAIN</t>
  </si>
  <si>
    <t>HPP (B)</t>
  </si>
  <si>
    <t>HASIL PENJUALAN (A)</t>
  </si>
  <si>
    <t>LABA KOTOR (C)= (A-B)</t>
  </si>
  <si>
    <t>LABA BERSIH (H)=(E-F)</t>
  </si>
  <si>
    <t>Keuntungan Bersih</t>
  </si>
  <si>
    <t>Penyusutan</t>
  </si>
  <si>
    <t xml:space="preserve">Total Kas Masuk </t>
  </si>
  <si>
    <t>Present Value</t>
  </si>
  <si>
    <t>Bulan ke-12</t>
  </si>
  <si>
    <t>NAMA PERALATAN</t>
  </si>
  <si>
    <t>NILAI</t>
  </si>
  <si>
    <t>NILAI RESIDU</t>
  </si>
  <si>
    <t>UMUR EKONOMIS</t>
  </si>
  <si>
    <t xml:space="preserve">Meja </t>
  </si>
  <si>
    <t xml:space="preserve">Kursi </t>
  </si>
  <si>
    <t>AC</t>
  </si>
  <si>
    <t>Tempat sampah</t>
  </si>
  <si>
    <t>Tempat tissu dinding</t>
  </si>
  <si>
    <t>Komputer / Laptop</t>
  </si>
  <si>
    <t>kitchen shet</t>
  </si>
  <si>
    <t>buah</t>
  </si>
  <si>
    <t>Dental Unit</t>
  </si>
  <si>
    <t>Alat Gigi</t>
  </si>
  <si>
    <t>Sterilisator</t>
  </si>
  <si>
    <t>paket</t>
  </si>
  <si>
    <t>Persiapan Interior Ruangan</t>
  </si>
  <si>
    <t>Handscoon</t>
  </si>
  <si>
    <t>Selang Suction</t>
  </si>
  <si>
    <t>Betadine</t>
  </si>
  <si>
    <t>Gelas Kumur</t>
  </si>
  <si>
    <t>Komposit</t>
  </si>
  <si>
    <t>Etsa</t>
  </si>
  <si>
    <t>Bonding</t>
  </si>
  <si>
    <t>GIC</t>
  </si>
  <si>
    <t>CHKM</t>
  </si>
  <si>
    <t>Cresotin</t>
  </si>
  <si>
    <t>Eugenol</t>
  </si>
  <si>
    <t>EDTA solution</t>
  </si>
  <si>
    <t>TKF</t>
  </si>
  <si>
    <t>Devital</t>
  </si>
  <si>
    <t>Tumpatan Sementara</t>
  </si>
  <si>
    <t>Zinc Phostphate cement</t>
  </si>
  <si>
    <t>Calplus</t>
  </si>
  <si>
    <t>Call LC</t>
  </si>
  <si>
    <t>Calcigel</t>
  </si>
  <si>
    <t>Surgipson (spongostan)</t>
  </si>
  <si>
    <t>Cotton roll</t>
  </si>
  <si>
    <t>Cotton pellet</t>
  </si>
  <si>
    <t>Tampon</t>
  </si>
  <si>
    <t>Saliva ejector</t>
  </si>
  <si>
    <t>Mylarsstrips</t>
  </si>
  <si>
    <t>Lap dada</t>
  </si>
  <si>
    <t>Microbrush</t>
  </si>
  <si>
    <t>Paper point</t>
  </si>
  <si>
    <t>Guttap Percha</t>
  </si>
  <si>
    <t>Jarum cytoject</t>
  </si>
  <si>
    <t>Scandonest anestesi</t>
  </si>
  <si>
    <t>Anestesi topikal</t>
  </si>
  <si>
    <t>Irigasi NaoCl 2,5%</t>
  </si>
  <si>
    <t>Irigasi H2O2 3%</t>
  </si>
  <si>
    <t>Cocoa Butter</t>
  </si>
  <si>
    <t>Pehacain/ Lidocain</t>
  </si>
  <si>
    <t>OPERASIONAL</t>
  </si>
  <si>
    <t>BIAYA OPERASIONAL PRODUKSI</t>
  </si>
  <si>
    <t>BIAYA OPERASIONAL PEMASARAN</t>
  </si>
  <si>
    <t>OPERASIONAL PRODUKSI</t>
  </si>
  <si>
    <t>OPERASIONAL PEMASARAN</t>
  </si>
  <si>
    <t>OPERASIONAL (PRODUKSI)</t>
  </si>
  <si>
    <t>OPERASIONAL (PEMASARAN)</t>
  </si>
  <si>
    <t>OPERASIONAL LAIN-LAIN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</si>
</sst>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_-&quot;Rp&quot;* #,##0_-;\-&quot;Rp&quot;* #,##0_-;_-&quot;Rp&quot;* &quot;-&quot;_-;_-@_-"/>
    <numFmt numFmtId="165" formatCode="_(&quot;Rp&quot;* #,##0_);_(&quot;Rp&quot;* \(#,##0\);_(&quot;Rp&quot;* &quot;-&quot;_);_(@_)"/>
  </numFmts>
  <fonts count="7" x14ac:knownFonts="1">
    <font>
      <sz val="11"/>
      <color theme="1"/>
      <name val="Calibri"/>
      <family val="2"/>
      <charset val="1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sz val="8"/>
      <color theme="1"/>
      <name val="Times New Roman"/>
      <family val="1"/>
    </font>
    <font>
      <sz val="7"/>
      <color theme="1"/>
      <name val="Times New Roman"/>
      <family val="1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1FBFA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/>
    <xf numFmtId="44" fontId="0" fillId="0" borderId="0" xfId="0" applyNumberFormat="1"/>
    <xf numFmtId="165" fontId="0" fillId="0" borderId="0" xfId="0" applyNumberFormat="1"/>
    <xf numFmtId="1" fontId="0" fillId="0" borderId="0" xfId="0" applyNumberFormat="1"/>
    <xf numFmtId="164" fontId="0" fillId="0" borderId="0" xfId="0" applyNumberFormat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0" fontId="1" fillId="0" borderId="1" xfId="0" applyFont="1" applyBorder="1"/>
    <xf numFmtId="3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wrapText="1"/>
    </xf>
    <xf numFmtId="165" fontId="2" fillId="0" borderId="1" xfId="0" applyNumberFormat="1" applyFont="1" applyBorder="1" applyAlignment="1">
      <alignment horizontal="center"/>
    </xf>
    <xf numFmtId="0" fontId="1" fillId="3" borderId="1" xfId="0" applyFont="1" applyFill="1" applyBorder="1" applyAlignment="1">
      <alignment vertical="top" wrapText="1"/>
    </xf>
    <xf numFmtId="0" fontId="1" fillId="4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65" fontId="1" fillId="2" borderId="1" xfId="0" applyNumberFormat="1" applyFont="1" applyFill="1" applyBorder="1"/>
    <xf numFmtId="165" fontId="2" fillId="2" borderId="1" xfId="0" applyNumberFormat="1" applyFont="1" applyFill="1" applyBorder="1" applyAlignment="1">
      <alignment horizontal="center"/>
    </xf>
    <xf numFmtId="0" fontId="0" fillId="2" borderId="1" xfId="0" applyFill="1" applyBorder="1"/>
    <xf numFmtId="0" fontId="1" fillId="0" borderId="0" xfId="0" applyFont="1"/>
    <xf numFmtId="164" fontId="1" fillId="0" borderId="0" xfId="0" applyNumberFormat="1" applyFont="1"/>
    <xf numFmtId="0" fontId="1" fillId="0" borderId="0" xfId="0" applyFont="1" applyAlignment="1">
      <alignment horizontal="center"/>
    </xf>
    <xf numFmtId="165" fontId="1" fillId="2" borderId="1" xfId="0" applyNumberFormat="1" applyFont="1" applyFill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/>
    <xf numFmtId="164" fontId="1" fillId="0" borderId="1" xfId="0" applyNumberFormat="1" applyFont="1" applyBorder="1"/>
    <xf numFmtId="44" fontId="1" fillId="0" borderId="1" xfId="0" applyNumberFormat="1" applyFont="1" applyBorder="1" applyAlignment="1">
      <alignment horizontal="center"/>
    </xf>
    <xf numFmtId="1" fontId="1" fillId="2" borderId="1" xfId="0" applyNumberFormat="1" applyFont="1" applyFill="1" applyBorder="1" applyAlignment="1">
      <alignment horizontal="right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0" fontId="3" fillId="0" borderId="0" xfId="0" applyFont="1"/>
    <xf numFmtId="0" fontId="3" fillId="0" borderId="1" xfId="0" applyFont="1" applyBorder="1"/>
    <xf numFmtId="164" fontId="3" fillId="0" borderId="1" xfId="0" applyNumberFormat="1" applyFont="1" applyBorder="1"/>
    <xf numFmtId="165" fontId="3" fillId="0" borderId="1" xfId="0" applyNumberFormat="1" applyFont="1" applyBorder="1"/>
    <xf numFmtId="0" fontId="3" fillId="5" borderId="0" xfId="0" applyFont="1" applyFill="1"/>
    <xf numFmtId="0" fontId="3" fillId="5" borderId="1" xfId="0" applyFont="1" applyFill="1" applyBorder="1"/>
    <xf numFmtId="164" fontId="3" fillId="5" borderId="1" xfId="0" applyNumberFormat="1" applyFont="1" applyFill="1" applyBorder="1"/>
    <xf numFmtId="0" fontId="3" fillId="6" borderId="1" xfId="0" applyFont="1" applyFill="1" applyBorder="1"/>
    <xf numFmtId="165" fontId="3" fillId="6" borderId="1" xfId="0" applyNumberFormat="1" applyFont="1" applyFill="1" applyBorder="1"/>
    <xf numFmtId="0" fontId="4" fillId="0" borderId="1" xfId="0" applyFont="1" applyBorder="1" applyAlignment="1">
      <alignment wrapText="1"/>
    </xf>
    <xf numFmtId="0" fontId="4" fillId="3" borderId="1" xfId="0" applyFont="1" applyFill="1" applyBorder="1" applyAlignment="1">
      <alignment wrapText="1"/>
    </xf>
    <xf numFmtId="0" fontId="4" fillId="2" borderId="1" xfId="0" applyFont="1" applyFill="1" applyBorder="1" applyAlignment="1">
      <alignment wrapText="1"/>
    </xf>
    <xf numFmtId="0" fontId="5" fillId="2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164" fontId="5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top" wrapText="1" indent="1"/>
    </xf>
    <xf numFmtId="0" fontId="0" fillId="0" borderId="0" xfId="0" applyAlignment="1">
      <alignment vertical="center"/>
    </xf>
    <xf numFmtId="3" fontId="0" fillId="0" borderId="1" xfId="0" applyNumberFormat="1" applyBorder="1" applyAlignment="1">
      <alignment horizontal="right" vertical="center" wrapText="1"/>
    </xf>
    <xf numFmtId="0" fontId="1" fillId="0" borderId="1" xfId="0" applyFont="1" applyBorder="1" applyAlignment="1">
      <alignment horizontal="left" vertical="top" wrapText="1"/>
    </xf>
    <xf numFmtId="0" fontId="2" fillId="2" borderId="3" xfId="0" applyFont="1" applyFill="1" applyBorder="1" applyAlignment="1">
      <alignment horizontal="center" vertical="top" wrapText="1"/>
    </xf>
    <xf numFmtId="0" fontId="2" fillId="2" borderId="5" xfId="0" applyFont="1" applyFill="1" applyBorder="1" applyAlignment="1">
      <alignment horizontal="center" vertical="top" wrapText="1"/>
    </xf>
    <xf numFmtId="0" fontId="2" fillId="2" borderId="4" xfId="0" applyFont="1" applyFill="1" applyBorder="1" applyAlignment="1">
      <alignment horizontal="center" vertical="top" wrapText="1"/>
    </xf>
    <xf numFmtId="0" fontId="1" fillId="4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164" fontId="1" fillId="0" borderId="3" xfId="0" applyNumberFormat="1" applyFont="1" applyBorder="1" applyAlignment="1">
      <alignment horizontal="center"/>
    </xf>
    <xf numFmtId="164" fontId="1" fillId="0" borderId="4" xfId="0" applyNumberFormat="1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2" borderId="1" xfId="0" applyFill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3" fontId="0" fillId="0" borderId="1" xfId="0" applyNumberFormat="1" applyBorder="1"/>
    <xf numFmtId="0" fontId="0" fillId="0" borderId="1" xfId="0" applyBorder="1"/>
    <xf numFmtId="0" fontId="0" fillId="0" borderId="1" xfId="0" applyBorder="1" applyAlignment="1">
      <alignment vertical="center"/>
    </xf>
    <xf numFmtId="0" fontId="6" fillId="7" borderId="3" xfId="0" applyFont="1" applyFill="1" applyBorder="1" applyAlignment="1">
      <alignment horizontal="center"/>
    </xf>
    <xf numFmtId="0" fontId="6" fillId="7" borderId="4" xfId="0" applyFont="1" applyFill="1" applyBorder="1" applyAlignment="1">
      <alignment horizontal="center"/>
    </xf>
    <xf numFmtId="3" fontId="6" fillId="7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1FBFA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workbookViewId="0">
      <selection activeCell="G16" sqref="G16"/>
    </sheetView>
  </sheetViews>
  <sheetFormatPr defaultRowHeight="14.4" x14ac:dyDescent="0.3"/>
  <cols>
    <col min="1" max="1" width="9.33203125" bestFit="1" customWidth="1"/>
    <col min="2" max="2" width="25.6640625" customWidth="1"/>
    <col min="3" max="3" width="30.33203125" customWidth="1"/>
    <col min="4" max="4" width="14.5546875" customWidth="1"/>
    <col min="5" max="5" width="10.6640625" customWidth="1"/>
    <col min="6" max="6" width="13.6640625" bestFit="1" customWidth="1"/>
    <col min="7" max="7" width="13.88671875" bestFit="1" customWidth="1"/>
  </cols>
  <sheetData>
    <row r="1" spans="1:7" s="53" customFormat="1" ht="27.6" x14ac:dyDescent="0.3">
      <c r="A1" s="54" t="s">
        <v>0</v>
      </c>
      <c r="B1" s="54" t="s">
        <v>24</v>
      </c>
      <c r="C1" s="54" t="s">
        <v>1</v>
      </c>
      <c r="D1" s="54" t="s">
        <v>2</v>
      </c>
      <c r="E1" s="54" t="s">
        <v>3</v>
      </c>
      <c r="F1" s="54" t="s">
        <v>4</v>
      </c>
      <c r="G1" s="54" t="s">
        <v>5</v>
      </c>
    </row>
    <row r="2" spans="1:7" x14ac:dyDescent="0.3">
      <c r="A2" s="6">
        <v>1</v>
      </c>
      <c r="B2" s="10" t="s">
        <v>80</v>
      </c>
      <c r="C2" s="11"/>
      <c r="D2" s="11">
        <v>1</v>
      </c>
      <c r="E2" s="11" t="s">
        <v>87</v>
      </c>
      <c r="F2" s="12">
        <v>500000</v>
      </c>
      <c r="G2" s="57">
        <f t="shared" ref="G2:G12" si="0">F2*D2</f>
        <v>500000</v>
      </c>
    </row>
    <row r="3" spans="1:7" x14ac:dyDescent="0.3">
      <c r="A3" s="6">
        <v>2</v>
      </c>
      <c r="B3" s="10" t="s">
        <v>81</v>
      </c>
      <c r="C3" s="11"/>
      <c r="D3" s="11">
        <v>3</v>
      </c>
      <c r="E3" s="11" t="s">
        <v>87</v>
      </c>
      <c r="F3" s="12">
        <v>150000</v>
      </c>
      <c r="G3" s="57">
        <f t="shared" si="0"/>
        <v>450000</v>
      </c>
    </row>
    <row r="4" spans="1:7" x14ac:dyDescent="0.3">
      <c r="A4" s="6">
        <v>3</v>
      </c>
      <c r="B4" s="15" t="s">
        <v>82</v>
      </c>
      <c r="C4" s="11"/>
      <c r="D4" s="11">
        <v>1</v>
      </c>
      <c r="E4" s="11" t="s">
        <v>87</v>
      </c>
      <c r="F4" s="12">
        <v>3500000</v>
      </c>
      <c r="G4" s="57">
        <f t="shared" si="0"/>
        <v>3500000</v>
      </c>
    </row>
    <row r="5" spans="1:7" x14ac:dyDescent="0.3">
      <c r="A5" s="6">
        <v>4</v>
      </c>
      <c r="B5" s="10" t="s">
        <v>83</v>
      </c>
      <c r="C5" s="11"/>
      <c r="D5" s="11">
        <v>2</v>
      </c>
      <c r="E5" s="11" t="s">
        <v>87</v>
      </c>
      <c r="F5" s="12">
        <v>100000</v>
      </c>
      <c r="G5" s="57">
        <f t="shared" si="0"/>
        <v>200000</v>
      </c>
    </row>
    <row r="6" spans="1:7" x14ac:dyDescent="0.3">
      <c r="A6" s="6">
        <v>5</v>
      </c>
      <c r="B6" s="10" t="s">
        <v>84</v>
      </c>
      <c r="C6" s="11"/>
      <c r="D6" s="11">
        <v>2</v>
      </c>
      <c r="E6" s="11" t="s">
        <v>87</v>
      </c>
      <c r="F6" s="12">
        <v>50000</v>
      </c>
      <c r="G6" s="57">
        <f t="shared" si="0"/>
        <v>100000</v>
      </c>
    </row>
    <row r="7" spans="1:7" x14ac:dyDescent="0.3">
      <c r="A7" s="6">
        <v>6</v>
      </c>
      <c r="B7" s="10" t="s">
        <v>85</v>
      </c>
      <c r="C7" s="11"/>
      <c r="D7" s="11">
        <v>1</v>
      </c>
      <c r="E7" s="11" t="s">
        <v>87</v>
      </c>
      <c r="F7" s="12">
        <v>5000000</v>
      </c>
      <c r="G7" s="57">
        <f t="shared" si="0"/>
        <v>5000000</v>
      </c>
    </row>
    <row r="8" spans="1:7" x14ac:dyDescent="0.3">
      <c r="A8" s="6">
        <v>7</v>
      </c>
      <c r="B8" s="10" t="s">
        <v>86</v>
      </c>
      <c r="C8" s="11"/>
      <c r="D8" s="11">
        <v>1</v>
      </c>
      <c r="E8" s="11" t="s">
        <v>87</v>
      </c>
      <c r="F8" s="12">
        <v>5000000</v>
      </c>
      <c r="G8" s="57">
        <f t="shared" si="0"/>
        <v>5000000</v>
      </c>
    </row>
    <row r="9" spans="1:7" x14ac:dyDescent="0.3">
      <c r="A9" s="6">
        <v>8</v>
      </c>
      <c r="B9" s="10" t="s">
        <v>88</v>
      </c>
      <c r="C9" s="11"/>
      <c r="D9" s="11">
        <v>1</v>
      </c>
      <c r="E9" s="11" t="s">
        <v>91</v>
      </c>
      <c r="F9" s="12">
        <v>25000000</v>
      </c>
      <c r="G9" s="57">
        <f t="shared" si="0"/>
        <v>25000000</v>
      </c>
    </row>
    <row r="10" spans="1:7" x14ac:dyDescent="0.3">
      <c r="A10" s="6">
        <v>9</v>
      </c>
      <c r="B10" s="10" t="s">
        <v>89</v>
      </c>
      <c r="C10" s="11"/>
      <c r="D10" s="11">
        <v>1</v>
      </c>
      <c r="E10" s="11" t="s">
        <v>91</v>
      </c>
      <c r="F10" s="12">
        <v>2500000</v>
      </c>
      <c r="G10" s="57">
        <f t="shared" si="0"/>
        <v>2500000</v>
      </c>
    </row>
    <row r="11" spans="1:7" x14ac:dyDescent="0.3">
      <c r="A11" s="6">
        <v>10</v>
      </c>
      <c r="B11" s="10" t="s">
        <v>90</v>
      </c>
      <c r="C11" s="11"/>
      <c r="D11" s="11">
        <v>1</v>
      </c>
      <c r="E11" s="11" t="s">
        <v>87</v>
      </c>
      <c r="F11" s="12">
        <v>1500000</v>
      </c>
      <c r="G11" s="57">
        <f t="shared" si="0"/>
        <v>1500000</v>
      </c>
    </row>
    <row r="12" spans="1:7" x14ac:dyDescent="0.3">
      <c r="A12" s="6">
        <v>11</v>
      </c>
      <c r="B12" s="10" t="s">
        <v>92</v>
      </c>
      <c r="C12" s="11"/>
      <c r="D12" s="11">
        <v>1</v>
      </c>
      <c r="E12" s="11" t="s">
        <v>91</v>
      </c>
      <c r="F12" s="12">
        <v>5000000</v>
      </c>
      <c r="G12" s="57">
        <f t="shared" si="0"/>
        <v>5000000</v>
      </c>
    </row>
    <row r="13" spans="1:7" x14ac:dyDescent="0.3">
      <c r="A13" s="6"/>
      <c r="B13" s="10"/>
      <c r="C13" s="11"/>
      <c r="D13" s="11"/>
      <c r="E13" s="11"/>
      <c r="F13" s="12"/>
      <c r="G13" s="7"/>
    </row>
    <row r="14" spans="1:7" x14ac:dyDescent="0.3">
      <c r="A14" s="6"/>
      <c r="B14" s="10"/>
      <c r="C14" s="11"/>
      <c r="D14" s="11"/>
      <c r="E14" s="11"/>
      <c r="F14" s="12"/>
      <c r="G14" s="7"/>
    </row>
    <row r="15" spans="1:7" x14ac:dyDescent="0.3">
      <c r="A15" s="6"/>
      <c r="B15" s="8"/>
      <c r="C15" s="6"/>
      <c r="D15" s="6"/>
      <c r="E15" s="6"/>
      <c r="F15" s="9"/>
      <c r="G15" s="7"/>
    </row>
    <row r="16" spans="1:7" x14ac:dyDescent="0.3">
      <c r="A16" s="59" t="s">
        <v>6</v>
      </c>
      <c r="B16" s="60"/>
      <c r="C16" s="60"/>
      <c r="D16" s="60"/>
      <c r="E16" s="60"/>
      <c r="F16" s="61"/>
      <c r="G16" s="18">
        <f>SUM(G2:G15)</f>
        <v>48750000</v>
      </c>
    </row>
  </sheetData>
  <mergeCells count="1">
    <mergeCell ref="A16:F1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2"/>
  <sheetViews>
    <sheetView topLeftCell="A29" workbookViewId="0">
      <selection activeCell="C42" sqref="C42"/>
    </sheetView>
  </sheetViews>
  <sheetFormatPr defaultRowHeight="14.4" x14ac:dyDescent="0.3"/>
  <cols>
    <col min="2" max="2" width="24.88671875" customWidth="1"/>
    <col min="3" max="3" width="19.109375" customWidth="1"/>
    <col min="4" max="4" width="17.6640625" customWidth="1"/>
    <col min="5" max="5" width="14.6640625" customWidth="1"/>
    <col min="6" max="6" width="12.5546875" customWidth="1"/>
    <col min="7" max="7" width="20.6640625" customWidth="1"/>
    <col min="8" max="8" width="26.5546875" customWidth="1"/>
  </cols>
  <sheetData>
    <row r="1" spans="1:7" s="53" customFormat="1" x14ac:dyDescent="0.3">
      <c r="A1" s="52" t="s">
        <v>0</v>
      </c>
      <c r="B1" s="52" t="s">
        <v>23</v>
      </c>
      <c r="C1" s="52" t="s">
        <v>1</v>
      </c>
      <c r="D1" s="52" t="s">
        <v>2</v>
      </c>
      <c r="E1" s="52" t="s">
        <v>3</v>
      </c>
      <c r="F1" s="52" t="s">
        <v>4</v>
      </c>
      <c r="G1" s="52" t="s">
        <v>19</v>
      </c>
    </row>
    <row r="2" spans="1:7" x14ac:dyDescent="0.3">
      <c r="A2" s="6"/>
      <c r="B2" s="58" t="s">
        <v>93</v>
      </c>
      <c r="C2" s="11"/>
      <c r="D2" s="11">
        <v>1</v>
      </c>
      <c r="E2" s="13"/>
      <c r="F2" s="11">
        <v>99900</v>
      </c>
      <c r="G2" s="14">
        <f>D2*F2</f>
        <v>99900</v>
      </c>
    </row>
    <row r="3" spans="1:7" x14ac:dyDescent="0.3">
      <c r="A3" s="6"/>
      <c r="B3" s="58" t="s">
        <v>94</v>
      </c>
      <c r="C3" s="11"/>
      <c r="D3" s="11">
        <v>1</v>
      </c>
      <c r="E3" s="11"/>
      <c r="F3" s="12">
        <v>66000</v>
      </c>
      <c r="G3" s="14">
        <f t="shared" ref="G3:G37" si="0">D3*F3</f>
        <v>66000</v>
      </c>
    </row>
    <row r="4" spans="1:7" x14ac:dyDescent="0.3">
      <c r="A4" s="6"/>
      <c r="B4" s="58" t="s">
        <v>95</v>
      </c>
      <c r="C4" s="11"/>
      <c r="D4" s="11">
        <v>1</v>
      </c>
      <c r="E4" s="11"/>
      <c r="F4" s="12">
        <v>95000</v>
      </c>
      <c r="G4" s="14">
        <f t="shared" si="0"/>
        <v>95000</v>
      </c>
    </row>
    <row r="5" spans="1:7" x14ac:dyDescent="0.3">
      <c r="A5" s="6"/>
      <c r="B5" s="58" t="s">
        <v>96</v>
      </c>
      <c r="C5" s="11"/>
      <c r="D5" s="11">
        <v>1</v>
      </c>
      <c r="E5" s="11"/>
      <c r="F5" s="12">
        <v>50000</v>
      </c>
      <c r="G5" s="14">
        <f t="shared" si="0"/>
        <v>50000</v>
      </c>
    </row>
    <row r="6" spans="1:7" x14ac:dyDescent="0.3">
      <c r="A6" s="6"/>
      <c r="B6" s="58" t="s">
        <v>97</v>
      </c>
      <c r="C6" s="11"/>
      <c r="D6" s="11">
        <v>1</v>
      </c>
      <c r="E6" s="11"/>
      <c r="F6" s="12">
        <v>643800</v>
      </c>
      <c r="G6" s="14">
        <f t="shared" si="0"/>
        <v>643800</v>
      </c>
    </row>
    <row r="7" spans="1:7" x14ac:dyDescent="0.3">
      <c r="A7" s="6"/>
      <c r="B7" s="58" t="s">
        <v>98</v>
      </c>
      <c r="C7" s="11"/>
      <c r="D7" s="11">
        <v>1</v>
      </c>
      <c r="E7" s="11"/>
      <c r="F7" s="12">
        <v>712620</v>
      </c>
      <c r="G7" s="14">
        <f t="shared" si="0"/>
        <v>712620</v>
      </c>
    </row>
    <row r="8" spans="1:7" x14ac:dyDescent="0.3">
      <c r="A8" s="6"/>
      <c r="B8" s="58" t="s">
        <v>99</v>
      </c>
      <c r="C8" s="11"/>
      <c r="D8" s="11">
        <v>1</v>
      </c>
      <c r="E8" s="11"/>
      <c r="F8" s="12">
        <v>1171050</v>
      </c>
      <c r="G8" s="14">
        <f t="shared" si="0"/>
        <v>1171050</v>
      </c>
    </row>
    <row r="9" spans="1:7" x14ac:dyDescent="0.3">
      <c r="A9" s="6"/>
      <c r="B9" s="58" t="s">
        <v>100</v>
      </c>
      <c r="C9" s="11"/>
      <c r="D9" s="11">
        <v>1</v>
      </c>
      <c r="E9" s="11"/>
      <c r="F9" s="12">
        <v>915750</v>
      </c>
      <c r="G9" s="14">
        <f t="shared" si="0"/>
        <v>915750</v>
      </c>
    </row>
    <row r="10" spans="1:7" x14ac:dyDescent="0.3">
      <c r="A10" s="6"/>
      <c r="B10" s="58" t="s">
        <v>101</v>
      </c>
      <c r="C10" s="11"/>
      <c r="D10" s="11">
        <v>1</v>
      </c>
      <c r="E10" s="11"/>
      <c r="F10" s="11">
        <v>190000</v>
      </c>
      <c r="G10" s="14">
        <f t="shared" si="0"/>
        <v>190000</v>
      </c>
    </row>
    <row r="11" spans="1:7" x14ac:dyDescent="0.3">
      <c r="A11" s="6"/>
      <c r="B11" s="58" t="s">
        <v>102</v>
      </c>
      <c r="C11" s="11"/>
      <c r="D11" s="11">
        <v>1</v>
      </c>
      <c r="E11" s="11"/>
      <c r="F11" s="11">
        <v>180000</v>
      </c>
      <c r="G11" s="14">
        <f t="shared" si="0"/>
        <v>180000</v>
      </c>
    </row>
    <row r="12" spans="1:7" x14ac:dyDescent="0.3">
      <c r="A12" s="6"/>
      <c r="B12" s="58" t="s">
        <v>103</v>
      </c>
      <c r="C12" s="11"/>
      <c r="D12" s="11">
        <v>1</v>
      </c>
      <c r="E12" s="11"/>
      <c r="F12" s="12">
        <v>256000</v>
      </c>
      <c r="G12" s="14">
        <f t="shared" si="0"/>
        <v>256000</v>
      </c>
    </row>
    <row r="13" spans="1:7" x14ac:dyDescent="0.3">
      <c r="A13" s="6"/>
      <c r="B13" s="58" t="s">
        <v>104</v>
      </c>
      <c r="C13" s="11"/>
      <c r="D13" s="11">
        <v>1</v>
      </c>
      <c r="E13" s="11"/>
      <c r="F13" s="12">
        <v>222000</v>
      </c>
      <c r="G13" s="14">
        <f t="shared" si="0"/>
        <v>222000</v>
      </c>
    </row>
    <row r="14" spans="1:7" x14ac:dyDescent="0.3">
      <c r="A14" s="6"/>
      <c r="B14" s="58" t="s">
        <v>105</v>
      </c>
      <c r="C14" s="11"/>
      <c r="D14" s="11">
        <v>1</v>
      </c>
      <c r="E14" s="11"/>
      <c r="F14" s="12">
        <v>160000</v>
      </c>
      <c r="G14" s="14">
        <f t="shared" si="0"/>
        <v>160000</v>
      </c>
    </row>
    <row r="15" spans="1:7" x14ac:dyDescent="0.3">
      <c r="A15" s="6"/>
      <c r="B15" s="58" t="s">
        <v>106</v>
      </c>
      <c r="C15" s="11"/>
      <c r="D15" s="11">
        <v>1</v>
      </c>
      <c r="E15" s="11"/>
      <c r="F15" s="12">
        <v>255300</v>
      </c>
      <c r="G15" s="14">
        <f t="shared" si="0"/>
        <v>255300</v>
      </c>
    </row>
    <row r="16" spans="1:7" x14ac:dyDescent="0.3">
      <c r="A16" s="6"/>
      <c r="B16" s="58" t="s">
        <v>107</v>
      </c>
      <c r="C16" s="11"/>
      <c r="D16" s="11">
        <v>1</v>
      </c>
      <c r="E16" s="11"/>
      <c r="F16" s="12">
        <v>183150</v>
      </c>
      <c r="G16" s="14">
        <f t="shared" si="0"/>
        <v>183150</v>
      </c>
    </row>
    <row r="17" spans="1:7" x14ac:dyDescent="0.3">
      <c r="A17" s="6"/>
      <c r="B17" s="58" t="s">
        <v>108</v>
      </c>
      <c r="C17" s="11"/>
      <c r="D17" s="11">
        <v>1</v>
      </c>
      <c r="E17" s="11"/>
      <c r="F17" s="12">
        <v>199800</v>
      </c>
      <c r="G17" s="14">
        <f t="shared" si="0"/>
        <v>199800</v>
      </c>
    </row>
    <row r="18" spans="1:7" x14ac:dyDescent="0.3">
      <c r="A18" s="6"/>
      <c r="B18" s="58" t="s">
        <v>109</v>
      </c>
      <c r="C18" s="11"/>
      <c r="D18" s="11">
        <v>1</v>
      </c>
      <c r="E18" s="11"/>
      <c r="F18" s="12">
        <v>310000</v>
      </c>
      <c r="G18" s="14">
        <f t="shared" si="0"/>
        <v>310000</v>
      </c>
    </row>
    <row r="19" spans="1:7" x14ac:dyDescent="0.3">
      <c r="A19" s="6"/>
      <c r="B19" s="58" t="s">
        <v>110</v>
      </c>
      <c r="C19" s="11"/>
      <c r="D19" s="11">
        <v>1</v>
      </c>
      <c r="E19" s="11"/>
      <c r="F19" s="12">
        <v>111000</v>
      </c>
      <c r="G19" s="14">
        <f t="shared" si="0"/>
        <v>111000</v>
      </c>
    </row>
    <row r="20" spans="1:7" x14ac:dyDescent="0.3">
      <c r="A20" s="6"/>
      <c r="B20" s="58" t="s">
        <v>111</v>
      </c>
      <c r="C20" s="11"/>
      <c r="D20" s="11">
        <v>1</v>
      </c>
      <c r="E20" s="11"/>
      <c r="F20" s="12">
        <v>290000</v>
      </c>
      <c r="G20" s="14">
        <f t="shared" si="0"/>
        <v>290000</v>
      </c>
    </row>
    <row r="21" spans="1:7" x14ac:dyDescent="0.3">
      <c r="A21" s="6"/>
      <c r="B21" s="58" t="s">
        <v>112</v>
      </c>
      <c r="C21" s="11"/>
      <c r="D21" s="11">
        <v>1</v>
      </c>
      <c r="E21" s="11"/>
      <c r="F21" s="12">
        <v>99900</v>
      </c>
      <c r="G21" s="14">
        <f t="shared" si="0"/>
        <v>99900</v>
      </c>
    </row>
    <row r="22" spans="1:7" x14ac:dyDescent="0.3">
      <c r="A22" s="6"/>
      <c r="B22" s="58" t="s">
        <v>113</v>
      </c>
      <c r="C22" s="11"/>
      <c r="D22" s="11">
        <v>1</v>
      </c>
      <c r="E22" s="11"/>
      <c r="F22" s="12">
        <v>72150</v>
      </c>
      <c r="G22" s="14">
        <f t="shared" si="0"/>
        <v>72150</v>
      </c>
    </row>
    <row r="23" spans="1:7" x14ac:dyDescent="0.3">
      <c r="A23" s="6"/>
      <c r="B23" s="58" t="s">
        <v>114</v>
      </c>
      <c r="C23" s="11"/>
      <c r="D23" s="11">
        <v>1</v>
      </c>
      <c r="E23" s="11"/>
      <c r="F23" s="12">
        <v>90000</v>
      </c>
      <c r="G23" s="14">
        <f t="shared" si="0"/>
        <v>90000</v>
      </c>
    </row>
    <row r="24" spans="1:7" x14ac:dyDescent="0.3">
      <c r="A24" s="6"/>
      <c r="B24" s="58" t="s">
        <v>115</v>
      </c>
      <c r="C24" s="11"/>
      <c r="D24" s="11">
        <v>1</v>
      </c>
      <c r="E24" s="11"/>
      <c r="F24" s="12">
        <v>27000</v>
      </c>
      <c r="G24" s="14">
        <f t="shared" si="0"/>
        <v>27000</v>
      </c>
    </row>
    <row r="25" spans="1:7" x14ac:dyDescent="0.3">
      <c r="A25" s="6"/>
      <c r="B25" s="58" t="s">
        <v>116</v>
      </c>
      <c r="C25" s="11"/>
      <c r="D25" s="11">
        <v>1</v>
      </c>
      <c r="E25" s="11"/>
      <c r="F25" s="12">
        <v>73000</v>
      </c>
      <c r="G25" s="14">
        <f t="shared" si="0"/>
        <v>73000</v>
      </c>
    </row>
    <row r="26" spans="1:7" x14ac:dyDescent="0.3">
      <c r="A26" s="6"/>
      <c r="B26" s="58" t="s">
        <v>117</v>
      </c>
      <c r="C26" s="11"/>
      <c r="D26" s="11">
        <v>1</v>
      </c>
      <c r="E26" s="11"/>
      <c r="F26" s="11">
        <v>205350</v>
      </c>
      <c r="G26" s="14">
        <f t="shared" si="0"/>
        <v>205350</v>
      </c>
    </row>
    <row r="27" spans="1:7" x14ac:dyDescent="0.3">
      <c r="A27" s="6"/>
      <c r="B27" s="58" t="s">
        <v>118</v>
      </c>
      <c r="C27" s="11"/>
      <c r="D27" s="11">
        <v>1</v>
      </c>
      <c r="E27" s="11"/>
      <c r="F27" s="11">
        <v>61050</v>
      </c>
      <c r="G27" s="14">
        <f t="shared" si="0"/>
        <v>61050</v>
      </c>
    </row>
    <row r="28" spans="1:7" x14ac:dyDescent="0.3">
      <c r="A28" s="6"/>
      <c r="B28" s="58" t="s">
        <v>119</v>
      </c>
      <c r="C28" s="11"/>
      <c r="D28" s="11">
        <v>1</v>
      </c>
      <c r="E28" s="11"/>
      <c r="F28" s="12">
        <v>210900</v>
      </c>
      <c r="G28" s="14">
        <f t="shared" si="0"/>
        <v>210900</v>
      </c>
    </row>
    <row r="29" spans="1:7" x14ac:dyDescent="0.3">
      <c r="A29" s="6"/>
      <c r="B29" s="58" t="s">
        <v>120</v>
      </c>
      <c r="C29" s="11"/>
      <c r="D29" s="11">
        <v>1</v>
      </c>
      <c r="E29" s="11"/>
      <c r="F29" s="12">
        <v>53280</v>
      </c>
      <c r="G29" s="14">
        <f t="shared" si="0"/>
        <v>53280</v>
      </c>
    </row>
    <row r="30" spans="1:7" x14ac:dyDescent="0.3">
      <c r="A30" s="6"/>
      <c r="B30" s="58" t="s">
        <v>121</v>
      </c>
      <c r="C30" s="11"/>
      <c r="D30" s="11">
        <v>1</v>
      </c>
      <c r="E30" s="11"/>
      <c r="F30" s="12">
        <v>53280</v>
      </c>
      <c r="G30" s="14">
        <f t="shared" si="0"/>
        <v>53280</v>
      </c>
    </row>
    <row r="31" spans="1:7" x14ac:dyDescent="0.3">
      <c r="A31" s="6"/>
      <c r="B31" s="58" t="s">
        <v>122</v>
      </c>
      <c r="C31" s="11"/>
      <c r="D31" s="11">
        <v>1</v>
      </c>
      <c r="E31" s="11"/>
      <c r="F31" s="12">
        <v>94350</v>
      </c>
      <c r="G31" s="14">
        <f t="shared" si="0"/>
        <v>94350</v>
      </c>
    </row>
    <row r="32" spans="1:7" x14ac:dyDescent="0.3">
      <c r="A32" s="6"/>
      <c r="B32" s="58" t="s">
        <v>123</v>
      </c>
      <c r="C32" s="11"/>
      <c r="D32" s="11">
        <v>1</v>
      </c>
      <c r="E32" s="11"/>
      <c r="F32" s="12">
        <v>300000</v>
      </c>
      <c r="G32" s="14">
        <f t="shared" si="0"/>
        <v>300000</v>
      </c>
    </row>
    <row r="33" spans="1:7" x14ac:dyDescent="0.3">
      <c r="A33" s="6"/>
      <c r="B33" s="58" t="s">
        <v>124</v>
      </c>
      <c r="C33" s="11"/>
      <c r="D33" s="11">
        <v>1</v>
      </c>
      <c r="E33" s="11"/>
      <c r="F33" s="12">
        <v>140000</v>
      </c>
      <c r="G33" s="14">
        <f t="shared" si="0"/>
        <v>140000</v>
      </c>
    </row>
    <row r="34" spans="1:7" x14ac:dyDescent="0.3">
      <c r="A34" s="6"/>
      <c r="B34" s="58" t="s">
        <v>125</v>
      </c>
      <c r="C34" s="11"/>
      <c r="D34" s="11">
        <v>1</v>
      </c>
      <c r="E34" s="11"/>
      <c r="F34" s="11">
        <v>50000</v>
      </c>
      <c r="G34" s="14">
        <f t="shared" si="0"/>
        <v>50000</v>
      </c>
    </row>
    <row r="35" spans="1:7" x14ac:dyDescent="0.3">
      <c r="A35" s="6"/>
      <c r="B35" s="58" t="s">
        <v>126</v>
      </c>
      <c r="C35" s="11"/>
      <c r="D35" s="11">
        <v>1</v>
      </c>
      <c r="E35" s="11"/>
      <c r="F35" s="11">
        <v>45000</v>
      </c>
      <c r="G35" s="14">
        <f t="shared" si="0"/>
        <v>45000</v>
      </c>
    </row>
    <row r="36" spans="1:7" x14ac:dyDescent="0.3">
      <c r="A36" s="6"/>
      <c r="B36" s="58" t="s">
        <v>127</v>
      </c>
      <c r="C36" s="11"/>
      <c r="D36" s="11">
        <v>1</v>
      </c>
      <c r="E36" s="11"/>
      <c r="F36" s="12">
        <v>160000</v>
      </c>
      <c r="G36" s="14">
        <f t="shared" si="0"/>
        <v>160000</v>
      </c>
    </row>
    <row r="37" spans="1:7" x14ac:dyDescent="0.3">
      <c r="A37" s="6"/>
      <c r="B37" s="58" t="s">
        <v>128</v>
      </c>
      <c r="C37" s="11"/>
      <c r="D37" s="11">
        <v>1</v>
      </c>
      <c r="E37" s="11"/>
      <c r="F37" s="12">
        <v>200000</v>
      </c>
      <c r="G37" s="14">
        <f t="shared" si="0"/>
        <v>200000</v>
      </c>
    </row>
    <row r="38" spans="1:7" x14ac:dyDescent="0.3">
      <c r="A38" s="6"/>
      <c r="B38" s="11"/>
      <c r="C38" s="11"/>
      <c r="D38" s="11"/>
      <c r="E38" s="11"/>
      <c r="F38" s="12"/>
      <c r="G38" s="14"/>
    </row>
    <row r="39" spans="1:7" x14ac:dyDescent="0.3">
      <c r="A39" s="6"/>
      <c r="B39" s="11"/>
      <c r="C39" s="11"/>
      <c r="D39" s="11"/>
      <c r="E39" s="11"/>
      <c r="F39" s="12"/>
      <c r="G39" s="14"/>
    </row>
    <row r="40" spans="1:7" x14ac:dyDescent="0.3">
      <c r="A40" s="59" t="s">
        <v>6</v>
      </c>
      <c r="B40" s="60"/>
      <c r="C40" s="60"/>
      <c r="D40" s="60"/>
      <c r="E40" s="60"/>
      <c r="F40" s="61"/>
      <c r="G40" s="19">
        <f>SUM(G2:G39)</f>
        <v>8046630</v>
      </c>
    </row>
    <row r="42" spans="1:7" ht="27.6" x14ac:dyDescent="0.3">
      <c r="B42" s="55" t="s">
        <v>7</v>
      </c>
      <c r="C42" s="20">
        <v>100</v>
      </c>
    </row>
  </sheetData>
  <mergeCells count="1">
    <mergeCell ref="A40:F40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2"/>
  <sheetViews>
    <sheetView workbookViewId="0">
      <selection activeCell="E19" sqref="E19"/>
    </sheetView>
  </sheetViews>
  <sheetFormatPr defaultRowHeight="14.4" x14ac:dyDescent="0.3"/>
  <cols>
    <col min="2" max="2" width="33" customWidth="1"/>
    <col min="3" max="3" width="17.6640625" customWidth="1"/>
    <col min="4" max="5" width="19.88671875" customWidth="1"/>
    <col min="6" max="6" width="25.109375" customWidth="1"/>
    <col min="7" max="7" width="25" customWidth="1"/>
    <col min="8" max="8" width="27.33203125" customWidth="1"/>
  </cols>
  <sheetData>
    <row r="1" spans="1:8" s="56" customFormat="1" ht="27.6" x14ac:dyDescent="0.3">
      <c r="A1" s="52" t="s">
        <v>0</v>
      </c>
      <c r="B1" s="52" t="s">
        <v>76</v>
      </c>
      <c r="C1" s="75" t="s">
        <v>77</v>
      </c>
      <c r="D1" s="75" t="s">
        <v>78</v>
      </c>
      <c r="E1" s="75" t="s">
        <v>79</v>
      </c>
      <c r="F1" s="52" t="s">
        <v>8</v>
      </c>
      <c r="G1" s="52" t="s">
        <v>9</v>
      </c>
      <c r="H1" s="52" t="s">
        <v>10</v>
      </c>
    </row>
    <row r="2" spans="1:8" x14ac:dyDescent="0.3">
      <c r="A2" s="76">
        <v>1</v>
      </c>
      <c r="B2" s="10" t="s">
        <v>80</v>
      </c>
      <c r="C2" s="77">
        <v>500000</v>
      </c>
      <c r="D2" s="77">
        <v>50000</v>
      </c>
      <c r="E2" s="77">
        <v>2</v>
      </c>
      <c r="F2" s="78">
        <f>(C2-D2)/E2</f>
        <v>225000</v>
      </c>
      <c r="G2" s="78">
        <f>F2/12</f>
        <v>18750</v>
      </c>
      <c r="H2" s="78">
        <f>F2/365</f>
        <v>616.43835616438355</v>
      </c>
    </row>
    <row r="3" spans="1:8" x14ac:dyDescent="0.3">
      <c r="A3" s="79">
        <v>2</v>
      </c>
      <c r="B3" s="10" t="s">
        <v>81</v>
      </c>
      <c r="C3" s="77">
        <v>450000</v>
      </c>
      <c r="D3" s="77">
        <v>45000</v>
      </c>
      <c r="E3" s="77">
        <v>2</v>
      </c>
      <c r="F3" s="78">
        <f t="shared" ref="F3:F20" si="0">(C3-D3)/E3</f>
        <v>202500</v>
      </c>
      <c r="G3" s="78">
        <f t="shared" ref="G3:G20" si="1">F3/12</f>
        <v>16875</v>
      </c>
      <c r="H3" s="78">
        <f t="shared" ref="H3:H20" si="2">F3/365</f>
        <v>554.79452054794524</v>
      </c>
    </row>
    <row r="4" spans="1:8" x14ac:dyDescent="0.3">
      <c r="A4" s="76">
        <v>3</v>
      </c>
      <c r="B4" s="10" t="s">
        <v>82</v>
      </c>
      <c r="C4" s="77">
        <v>3500000</v>
      </c>
      <c r="D4" s="77">
        <v>350000</v>
      </c>
      <c r="E4" s="77">
        <v>2</v>
      </c>
      <c r="F4" s="78">
        <f t="shared" si="0"/>
        <v>1575000</v>
      </c>
      <c r="G4" s="78">
        <f t="shared" si="1"/>
        <v>131250</v>
      </c>
      <c r="H4" s="78">
        <f t="shared" si="2"/>
        <v>4315.0684931506848</v>
      </c>
    </row>
    <row r="5" spans="1:8" x14ac:dyDescent="0.3">
      <c r="A5" s="79">
        <v>4</v>
      </c>
      <c r="B5" s="10" t="s">
        <v>83</v>
      </c>
      <c r="C5" s="77">
        <v>200000</v>
      </c>
      <c r="D5" s="77">
        <v>20000</v>
      </c>
      <c r="E5" s="77">
        <v>2</v>
      </c>
      <c r="F5" s="78">
        <f t="shared" si="0"/>
        <v>90000</v>
      </c>
      <c r="G5" s="78">
        <f t="shared" si="1"/>
        <v>7500</v>
      </c>
      <c r="H5" s="78">
        <f t="shared" si="2"/>
        <v>246.57534246575344</v>
      </c>
    </row>
    <row r="6" spans="1:8" x14ac:dyDescent="0.3">
      <c r="A6" s="76">
        <v>5</v>
      </c>
      <c r="B6" s="10" t="s">
        <v>84</v>
      </c>
      <c r="C6" s="77">
        <v>100000</v>
      </c>
      <c r="D6" s="77">
        <v>10000</v>
      </c>
      <c r="E6" s="77">
        <v>2</v>
      </c>
      <c r="F6" s="78">
        <f t="shared" si="0"/>
        <v>45000</v>
      </c>
      <c r="G6" s="78">
        <f t="shared" si="1"/>
        <v>3750</v>
      </c>
      <c r="H6" s="78">
        <f t="shared" si="2"/>
        <v>123.28767123287672</v>
      </c>
    </row>
    <row r="7" spans="1:8" x14ac:dyDescent="0.3">
      <c r="A7" s="79">
        <v>6</v>
      </c>
      <c r="B7" s="10" t="s">
        <v>85</v>
      </c>
      <c r="C7" s="77">
        <v>5000000</v>
      </c>
      <c r="D7" s="77">
        <v>500000</v>
      </c>
      <c r="E7" s="77">
        <v>2</v>
      </c>
      <c r="F7" s="78">
        <f t="shared" si="0"/>
        <v>2250000</v>
      </c>
      <c r="G7" s="78">
        <f t="shared" si="1"/>
        <v>187500</v>
      </c>
      <c r="H7" s="78">
        <f t="shared" si="2"/>
        <v>6164.3835616438355</v>
      </c>
    </row>
    <row r="8" spans="1:8" x14ac:dyDescent="0.3">
      <c r="A8" s="76">
        <v>7</v>
      </c>
      <c r="B8" s="10" t="s">
        <v>86</v>
      </c>
      <c r="C8" s="77">
        <v>5000000</v>
      </c>
      <c r="D8" s="77">
        <v>500000</v>
      </c>
      <c r="E8" s="77">
        <v>2</v>
      </c>
      <c r="F8" s="78">
        <f t="shared" si="0"/>
        <v>2250000</v>
      </c>
      <c r="G8" s="78">
        <f t="shared" si="1"/>
        <v>187500</v>
      </c>
      <c r="H8" s="78">
        <f t="shared" si="2"/>
        <v>6164.3835616438355</v>
      </c>
    </row>
    <row r="9" spans="1:8" x14ac:dyDescent="0.3">
      <c r="A9" s="79">
        <v>8</v>
      </c>
      <c r="B9" s="10" t="s">
        <v>88</v>
      </c>
      <c r="C9" s="77">
        <v>25000000</v>
      </c>
      <c r="D9" s="77">
        <v>2500000</v>
      </c>
      <c r="E9" s="77">
        <v>2</v>
      </c>
      <c r="F9" s="78">
        <f t="shared" si="0"/>
        <v>11250000</v>
      </c>
      <c r="G9" s="78">
        <f t="shared" si="1"/>
        <v>937500</v>
      </c>
      <c r="H9" s="78">
        <f t="shared" si="2"/>
        <v>30821.917808219179</v>
      </c>
    </row>
    <row r="10" spans="1:8" x14ac:dyDescent="0.3">
      <c r="A10" s="76">
        <v>9</v>
      </c>
      <c r="B10" s="10" t="s">
        <v>89</v>
      </c>
      <c r="C10" s="77">
        <v>2500000</v>
      </c>
      <c r="D10" s="77">
        <v>250000</v>
      </c>
      <c r="E10" s="77">
        <v>2</v>
      </c>
      <c r="F10" s="78">
        <f t="shared" si="0"/>
        <v>1125000</v>
      </c>
      <c r="G10" s="78">
        <f t="shared" si="1"/>
        <v>93750</v>
      </c>
      <c r="H10" s="78">
        <f t="shared" si="2"/>
        <v>3082.1917808219177</v>
      </c>
    </row>
    <row r="11" spans="1:8" x14ac:dyDescent="0.3">
      <c r="A11" s="79">
        <v>10</v>
      </c>
      <c r="B11" s="78" t="s">
        <v>90</v>
      </c>
      <c r="C11" s="78">
        <v>1500000</v>
      </c>
      <c r="D11" s="78">
        <v>150000</v>
      </c>
      <c r="E11" s="77">
        <v>2</v>
      </c>
      <c r="F11" s="78">
        <f t="shared" si="0"/>
        <v>675000</v>
      </c>
      <c r="G11" s="78">
        <f t="shared" si="1"/>
        <v>56250</v>
      </c>
      <c r="H11" s="78">
        <f t="shared" si="2"/>
        <v>1849.3150684931506</v>
      </c>
    </row>
    <row r="12" spans="1:8" x14ac:dyDescent="0.3">
      <c r="A12" s="76">
        <v>11</v>
      </c>
      <c r="B12" s="78" t="s">
        <v>92</v>
      </c>
      <c r="C12" s="78">
        <v>5000000</v>
      </c>
      <c r="D12" s="78">
        <v>500000</v>
      </c>
      <c r="E12" s="77">
        <v>2</v>
      </c>
      <c r="F12" s="78">
        <f t="shared" si="0"/>
        <v>2250000</v>
      </c>
      <c r="G12" s="78">
        <f t="shared" si="1"/>
        <v>187500</v>
      </c>
      <c r="H12" s="78">
        <f t="shared" si="2"/>
        <v>6164.3835616438355</v>
      </c>
    </row>
    <row r="13" spans="1:8" x14ac:dyDescent="0.3">
      <c r="A13" s="78"/>
      <c r="B13" s="78"/>
      <c r="C13" s="77">
        <v>0</v>
      </c>
      <c r="D13" s="77">
        <v>0</v>
      </c>
      <c r="E13" s="77">
        <v>1</v>
      </c>
      <c r="F13" s="78">
        <f t="shared" si="0"/>
        <v>0</v>
      </c>
      <c r="G13" s="78">
        <f t="shared" si="1"/>
        <v>0</v>
      </c>
      <c r="H13" s="78">
        <f t="shared" si="2"/>
        <v>0</v>
      </c>
    </row>
    <row r="14" spans="1:8" x14ac:dyDescent="0.3">
      <c r="A14" s="78"/>
      <c r="B14" s="78"/>
      <c r="C14" s="77">
        <v>0</v>
      </c>
      <c r="D14" s="77">
        <v>0</v>
      </c>
      <c r="E14" s="77">
        <v>1</v>
      </c>
      <c r="F14" s="78">
        <f t="shared" si="0"/>
        <v>0</v>
      </c>
      <c r="G14" s="78">
        <f t="shared" si="1"/>
        <v>0</v>
      </c>
      <c r="H14" s="78">
        <f t="shared" si="2"/>
        <v>0</v>
      </c>
    </row>
    <row r="15" spans="1:8" x14ac:dyDescent="0.3">
      <c r="A15" s="78"/>
      <c r="B15" s="78"/>
      <c r="C15" s="77">
        <v>0</v>
      </c>
      <c r="D15" s="77">
        <v>0</v>
      </c>
      <c r="E15" s="77">
        <v>1</v>
      </c>
      <c r="F15" s="78">
        <f t="shared" si="0"/>
        <v>0</v>
      </c>
      <c r="G15" s="78">
        <f t="shared" si="1"/>
        <v>0</v>
      </c>
      <c r="H15" s="78">
        <f t="shared" si="2"/>
        <v>0</v>
      </c>
    </row>
    <row r="16" spans="1:8" x14ac:dyDescent="0.3">
      <c r="A16" s="78"/>
      <c r="B16" s="78"/>
      <c r="C16" s="77">
        <v>0</v>
      </c>
      <c r="D16" s="77">
        <v>0</v>
      </c>
      <c r="E16" s="77">
        <v>1</v>
      </c>
      <c r="F16" s="78">
        <f t="shared" si="0"/>
        <v>0</v>
      </c>
      <c r="G16" s="78">
        <f t="shared" si="1"/>
        <v>0</v>
      </c>
      <c r="H16" s="78">
        <f t="shared" si="2"/>
        <v>0</v>
      </c>
    </row>
    <row r="17" spans="1:8" x14ac:dyDescent="0.3">
      <c r="A17" s="78"/>
      <c r="B17" s="78"/>
      <c r="C17" s="77">
        <v>0</v>
      </c>
      <c r="D17" s="77">
        <v>0</v>
      </c>
      <c r="E17" s="77">
        <v>1</v>
      </c>
      <c r="F17" s="78">
        <f t="shared" si="0"/>
        <v>0</v>
      </c>
      <c r="G17" s="78">
        <f t="shared" si="1"/>
        <v>0</v>
      </c>
      <c r="H17" s="78">
        <f t="shared" si="2"/>
        <v>0</v>
      </c>
    </row>
    <row r="18" spans="1:8" x14ac:dyDescent="0.3">
      <c r="A18" s="78"/>
      <c r="B18" s="78"/>
      <c r="C18" s="77">
        <v>0</v>
      </c>
      <c r="D18" s="77">
        <v>0</v>
      </c>
      <c r="E18" s="77">
        <v>1</v>
      </c>
      <c r="F18" s="78">
        <f t="shared" si="0"/>
        <v>0</v>
      </c>
      <c r="G18" s="78">
        <f t="shared" si="1"/>
        <v>0</v>
      </c>
      <c r="H18" s="78">
        <f t="shared" si="2"/>
        <v>0</v>
      </c>
    </row>
    <row r="19" spans="1:8" x14ac:dyDescent="0.3">
      <c r="A19" s="78"/>
      <c r="B19" s="78"/>
      <c r="C19" s="77">
        <v>0</v>
      </c>
      <c r="D19" s="77">
        <v>0</v>
      </c>
      <c r="E19" s="77">
        <v>1</v>
      </c>
      <c r="F19" s="78">
        <f t="shared" si="0"/>
        <v>0</v>
      </c>
      <c r="G19" s="78">
        <f t="shared" si="1"/>
        <v>0</v>
      </c>
      <c r="H19" s="78">
        <f t="shared" si="2"/>
        <v>0</v>
      </c>
    </row>
    <row r="20" spans="1:8" x14ac:dyDescent="0.3">
      <c r="A20" s="78"/>
      <c r="B20" s="78"/>
      <c r="C20" s="77">
        <v>0</v>
      </c>
      <c r="D20" s="77">
        <v>0</v>
      </c>
      <c r="E20" s="77">
        <v>1</v>
      </c>
      <c r="F20" s="78">
        <f t="shared" si="0"/>
        <v>0</v>
      </c>
      <c r="G20" s="78">
        <f t="shared" si="1"/>
        <v>0</v>
      </c>
      <c r="H20" s="78">
        <f t="shared" si="2"/>
        <v>0</v>
      </c>
    </row>
    <row r="21" spans="1:8" x14ac:dyDescent="0.3">
      <c r="A21" s="78"/>
      <c r="B21" s="78"/>
      <c r="C21" s="78"/>
      <c r="D21" s="78"/>
      <c r="E21" s="78"/>
      <c r="F21" s="78"/>
      <c r="G21" s="78"/>
      <c r="H21" s="78"/>
    </row>
    <row r="22" spans="1:8" x14ac:dyDescent="0.3">
      <c r="A22" s="80" t="s">
        <v>6</v>
      </c>
      <c r="B22" s="81"/>
      <c r="C22" s="82">
        <f>SUM(C2:C20)</f>
        <v>48750000</v>
      </c>
      <c r="D22" s="82">
        <f t="shared" ref="D22:H22" si="3">SUM(D2:D20)</f>
        <v>4875000</v>
      </c>
      <c r="E22" s="82">
        <f t="shared" si="3"/>
        <v>30</v>
      </c>
      <c r="F22" s="82">
        <f t="shared" si="3"/>
        <v>21937500</v>
      </c>
      <c r="G22" s="82">
        <f t="shared" si="3"/>
        <v>1828125</v>
      </c>
      <c r="H22" s="82">
        <f t="shared" si="3"/>
        <v>60102.739726027401</v>
      </c>
    </row>
  </sheetData>
  <mergeCells count="1">
    <mergeCell ref="A22:B22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5"/>
  <sheetViews>
    <sheetView zoomScale="90" zoomScaleNormal="90" workbookViewId="0">
      <selection activeCell="B21" sqref="B21"/>
    </sheetView>
  </sheetViews>
  <sheetFormatPr defaultRowHeight="14.4" x14ac:dyDescent="0.3"/>
  <cols>
    <col min="2" max="2" width="51.88671875" bestFit="1" customWidth="1"/>
    <col min="3" max="3" width="32.88671875" customWidth="1"/>
    <col min="4" max="4" width="15.88671875" customWidth="1"/>
    <col min="5" max="5" width="20.6640625" customWidth="1"/>
    <col min="6" max="6" width="16.44140625" customWidth="1"/>
    <col min="7" max="7" width="15.6640625" customWidth="1"/>
  </cols>
  <sheetData>
    <row r="1" spans="1:7" x14ac:dyDescent="0.3">
      <c r="A1" s="62" t="s">
        <v>129</v>
      </c>
      <c r="B1" s="62"/>
      <c r="C1" s="62"/>
      <c r="D1" s="62"/>
      <c r="E1" s="62"/>
      <c r="F1" s="62"/>
      <c r="G1" s="62"/>
    </row>
    <row r="2" spans="1:7" x14ac:dyDescent="0.3">
      <c r="A2" s="17" t="s">
        <v>0</v>
      </c>
      <c r="B2" s="17" t="s">
        <v>130</v>
      </c>
      <c r="C2" s="17" t="s">
        <v>1</v>
      </c>
      <c r="D2" s="17" t="s">
        <v>2</v>
      </c>
      <c r="E2" s="17" t="s">
        <v>3</v>
      </c>
      <c r="F2" s="17" t="s">
        <v>4</v>
      </c>
      <c r="G2" s="17" t="s">
        <v>5</v>
      </c>
    </row>
    <row r="3" spans="1:7" x14ac:dyDescent="0.3">
      <c r="A3" s="6"/>
      <c r="B3" s="6"/>
      <c r="C3" s="6"/>
      <c r="D3" s="6"/>
      <c r="E3" s="6"/>
      <c r="F3" s="7"/>
      <c r="G3" s="7">
        <f>D3*F3</f>
        <v>0</v>
      </c>
    </row>
    <row r="4" spans="1:7" x14ac:dyDescent="0.3">
      <c r="A4" s="6"/>
      <c r="B4" s="6"/>
      <c r="C4" s="6"/>
      <c r="D4" s="6"/>
      <c r="E4" s="6"/>
      <c r="F4" s="7"/>
      <c r="G4" s="7">
        <f>D4*F4</f>
        <v>0</v>
      </c>
    </row>
    <row r="5" spans="1:7" x14ac:dyDescent="0.3">
      <c r="A5" s="63" t="s">
        <v>6</v>
      </c>
      <c r="B5" s="63"/>
      <c r="C5" s="63"/>
      <c r="D5" s="63"/>
      <c r="E5" s="63"/>
      <c r="F5" s="63"/>
      <c r="G5" s="24">
        <f>SUM(G3:G4)</f>
        <v>0</v>
      </c>
    </row>
    <row r="6" spans="1:7" x14ac:dyDescent="0.3">
      <c r="A6" s="23"/>
      <c r="B6" s="23"/>
      <c r="C6" s="23"/>
      <c r="D6" s="23"/>
      <c r="E6" s="23"/>
      <c r="F6" s="23"/>
      <c r="G6" s="23"/>
    </row>
    <row r="7" spans="1:7" x14ac:dyDescent="0.3">
      <c r="A7" s="17" t="s">
        <v>0</v>
      </c>
      <c r="B7" s="17" t="s">
        <v>131</v>
      </c>
      <c r="C7" s="17" t="s">
        <v>1</v>
      </c>
      <c r="D7" s="17" t="s">
        <v>2</v>
      </c>
      <c r="E7" s="17" t="s">
        <v>3</v>
      </c>
      <c r="F7" s="17" t="s">
        <v>4</v>
      </c>
      <c r="G7" s="17" t="s">
        <v>5</v>
      </c>
    </row>
    <row r="8" spans="1:7" x14ac:dyDescent="0.3">
      <c r="A8" s="6"/>
      <c r="B8" s="6"/>
      <c r="C8" s="6"/>
      <c r="D8" s="6"/>
      <c r="E8" s="6"/>
      <c r="F8" s="7"/>
      <c r="G8" s="7">
        <f>D8*F8</f>
        <v>0</v>
      </c>
    </row>
    <row r="9" spans="1:7" x14ac:dyDescent="0.3">
      <c r="A9" s="6"/>
      <c r="B9" s="6"/>
      <c r="C9" s="6"/>
      <c r="D9" s="6"/>
      <c r="E9" s="6"/>
      <c r="F9" s="7"/>
      <c r="G9" s="7">
        <f>D9*F9</f>
        <v>0</v>
      </c>
    </row>
    <row r="10" spans="1:7" x14ac:dyDescent="0.3">
      <c r="A10" s="63" t="s">
        <v>6</v>
      </c>
      <c r="B10" s="63"/>
      <c r="C10" s="63"/>
      <c r="D10" s="63"/>
      <c r="E10" s="63"/>
      <c r="F10" s="63"/>
      <c r="G10" s="24">
        <f>SUM(G8:G9)</f>
        <v>0</v>
      </c>
    </row>
    <row r="11" spans="1:7" x14ac:dyDescent="0.3">
      <c r="A11" s="23"/>
      <c r="B11" s="23"/>
      <c r="C11" s="23"/>
      <c r="D11" s="23"/>
      <c r="E11" s="23"/>
      <c r="F11" s="23"/>
      <c r="G11" s="23"/>
    </row>
    <row r="12" spans="1:7" x14ac:dyDescent="0.3">
      <c r="A12" s="62" t="s">
        <v>66</v>
      </c>
      <c r="B12" s="62"/>
      <c r="C12" s="62"/>
      <c r="D12" s="62"/>
      <c r="E12" s="62"/>
      <c r="F12" s="62"/>
      <c r="G12" s="62"/>
    </row>
    <row r="13" spans="1:7" x14ac:dyDescent="0.3">
      <c r="A13" s="6"/>
      <c r="B13" s="6"/>
      <c r="C13" s="6"/>
      <c r="D13" s="6"/>
      <c r="E13" s="6"/>
      <c r="F13" s="7"/>
      <c r="G13" s="7">
        <f>D13*F13</f>
        <v>0</v>
      </c>
    </row>
    <row r="14" spans="1:7" x14ac:dyDescent="0.3">
      <c r="A14" s="6"/>
      <c r="B14" s="6"/>
      <c r="C14" s="6"/>
      <c r="D14" s="6"/>
      <c r="E14" s="6"/>
      <c r="F14" s="7"/>
      <c r="G14" s="7">
        <f>D14*F14</f>
        <v>0</v>
      </c>
    </row>
    <row r="15" spans="1:7" x14ac:dyDescent="0.3">
      <c r="A15" s="63" t="s">
        <v>6</v>
      </c>
      <c r="B15" s="63"/>
      <c r="C15" s="63"/>
      <c r="D15" s="63"/>
      <c r="E15" s="63"/>
      <c r="F15" s="63"/>
      <c r="G15" s="24">
        <f>SUM(G13:G14)</f>
        <v>0</v>
      </c>
    </row>
  </sheetData>
  <mergeCells count="5">
    <mergeCell ref="A1:G1"/>
    <mergeCell ref="A5:F5"/>
    <mergeCell ref="A12:G12"/>
    <mergeCell ref="A10:F10"/>
    <mergeCell ref="A15:F1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7"/>
  <sheetViews>
    <sheetView workbookViewId="0">
      <selection activeCell="C5" sqref="C5"/>
    </sheetView>
  </sheetViews>
  <sheetFormatPr defaultRowHeight="14.4" x14ac:dyDescent="0.3"/>
  <cols>
    <col min="2" max="2" width="39.6640625" customWidth="1"/>
    <col min="3" max="3" width="23" customWidth="1"/>
    <col min="4" max="4" width="12" customWidth="1"/>
  </cols>
  <sheetData>
    <row r="1" spans="1:4" x14ac:dyDescent="0.3">
      <c r="A1" s="17" t="s">
        <v>0</v>
      </c>
      <c r="B1" s="17" t="s">
        <v>1</v>
      </c>
      <c r="C1" s="17" t="s">
        <v>5</v>
      </c>
      <c r="D1" s="23"/>
    </row>
    <row r="2" spans="1:4" x14ac:dyDescent="0.3">
      <c r="A2" s="6">
        <v>1</v>
      </c>
      <c r="B2" s="6" t="s">
        <v>25</v>
      </c>
      <c r="C2" s="7">
        <f>PERALATAN!G16</f>
        <v>48750000</v>
      </c>
      <c r="D2" s="23"/>
    </row>
    <row r="3" spans="1:4" x14ac:dyDescent="0.3">
      <c r="A3" s="6">
        <v>2</v>
      </c>
      <c r="B3" s="6" t="s">
        <v>23</v>
      </c>
      <c r="C3" s="7">
        <f>'BAHAN HABIS PAKAI'!G40</f>
        <v>8046630</v>
      </c>
      <c r="D3" s="23"/>
    </row>
    <row r="4" spans="1:4" x14ac:dyDescent="0.3">
      <c r="A4" s="6">
        <v>3</v>
      </c>
      <c r="B4" s="6" t="s">
        <v>129</v>
      </c>
      <c r="C4" s="7">
        <f>'BIAYA OPERASIONAL'!G5+'BIAYA OPERASIONAL'!G10</f>
        <v>0</v>
      </c>
      <c r="D4" s="23"/>
    </row>
    <row r="5" spans="1:4" x14ac:dyDescent="0.3">
      <c r="A5" s="6">
        <v>4</v>
      </c>
      <c r="B5" s="6" t="s">
        <v>11</v>
      </c>
      <c r="C5" s="25">
        <f>'BIAYA OPERASIONAL'!G15</f>
        <v>0</v>
      </c>
      <c r="D5" s="23"/>
    </row>
    <row r="6" spans="1:4" x14ac:dyDescent="0.3">
      <c r="A6" s="17"/>
      <c r="B6" s="17" t="s">
        <v>26</v>
      </c>
      <c r="C6" s="24">
        <f>SUM(C1:C5)</f>
        <v>56796630</v>
      </c>
      <c r="D6" s="23"/>
    </row>
    <row r="7" spans="1:4" x14ac:dyDescent="0.3">
      <c r="C7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3"/>
  <sheetViews>
    <sheetView workbookViewId="0">
      <selection activeCell="C14" sqref="C14"/>
    </sheetView>
  </sheetViews>
  <sheetFormatPr defaultRowHeight="14.4" x14ac:dyDescent="0.3"/>
  <cols>
    <col min="1" max="1" width="4.33203125" customWidth="1"/>
    <col min="2" max="2" width="37.44140625" customWidth="1"/>
    <col min="3" max="3" width="23.44140625" customWidth="1"/>
    <col min="5" max="5" width="31.44140625" bestFit="1" customWidth="1"/>
    <col min="6" max="6" width="10.33203125" bestFit="1" customWidth="1"/>
  </cols>
  <sheetData>
    <row r="1" spans="1:3" ht="15.6" x14ac:dyDescent="0.3">
      <c r="A1" s="40" t="s">
        <v>0</v>
      </c>
      <c r="B1" s="41" t="s">
        <v>65</v>
      </c>
      <c r="C1" s="41" t="s">
        <v>4</v>
      </c>
    </row>
    <row r="2" spans="1:3" ht="15.6" x14ac:dyDescent="0.3">
      <c r="A2" s="36"/>
      <c r="B2" s="37" t="s">
        <v>23</v>
      </c>
      <c r="C2" s="38">
        <f>'BAHAN HABIS PAKAI'!G40/'BAHAN HABIS PAKAI'!C42</f>
        <v>80466.3</v>
      </c>
    </row>
    <row r="3" spans="1:3" ht="15.6" x14ac:dyDescent="0.3">
      <c r="A3" s="36"/>
      <c r="B3" s="37" t="s">
        <v>132</v>
      </c>
      <c r="C3" s="38">
        <f>'BIAYA OPERASIONAL'!G3/'BAHAN HABIS PAKAI'!C42</f>
        <v>0</v>
      </c>
    </row>
    <row r="4" spans="1:3" ht="15.6" x14ac:dyDescent="0.3">
      <c r="A4" s="36"/>
      <c r="B4" s="41" t="s">
        <v>22</v>
      </c>
      <c r="C4" s="42">
        <f>SUM(C2:C3)</f>
        <v>80466.3</v>
      </c>
    </row>
    <row r="5" spans="1:3" ht="15.6" x14ac:dyDescent="0.3">
      <c r="A5" s="36"/>
      <c r="B5" s="37" t="s">
        <v>133</v>
      </c>
      <c r="C5" s="38">
        <f>'BIAYA OPERASIONAL'!G10/'BAHAN HABIS PAKAI'!C42</f>
        <v>0</v>
      </c>
    </row>
    <row r="6" spans="1:3" ht="15.6" x14ac:dyDescent="0.3">
      <c r="A6" s="36"/>
      <c r="B6" s="37" t="s">
        <v>11</v>
      </c>
      <c r="C6" s="38">
        <f>'BIAYA OPERASIONAL'!G15/'BAHAN HABIS PAKAI'!C42</f>
        <v>0</v>
      </c>
    </row>
    <row r="7" spans="1:3" ht="15.6" x14ac:dyDescent="0.3">
      <c r="A7" s="36"/>
      <c r="B7" s="41" t="s">
        <v>28</v>
      </c>
      <c r="C7" s="42">
        <f>C4+C6+C5</f>
        <v>80466.3</v>
      </c>
    </row>
    <row r="8" spans="1:3" ht="15.6" x14ac:dyDescent="0.3">
      <c r="A8" s="36"/>
      <c r="B8" s="37" t="s">
        <v>29</v>
      </c>
      <c r="C8" s="38">
        <f>PENYUSUTAN!H10</f>
        <v>3082.1917808219177</v>
      </c>
    </row>
    <row r="9" spans="1:3" ht="15.6" x14ac:dyDescent="0.3">
      <c r="A9" s="36"/>
      <c r="B9" s="41" t="s">
        <v>30</v>
      </c>
      <c r="C9" s="42">
        <f>C7+C8</f>
        <v>83548.491780821918</v>
      </c>
    </row>
    <row r="10" spans="1:3" ht="15.6" x14ac:dyDescent="0.3">
      <c r="A10" s="36"/>
      <c r="B10" s="37" t="s">
        <v>31</v>
      </c>
      <c r="C10" s="39">
        <v>50000</v>
      </c>
    </row>
    <row r="11" spans="1:3" ht="15.6" x14ac:dyDescent="0.3">
      <c r="A11" s="36"/>
      <c r="B11" s="37" t="s">
        <v>33</v>
      </c>
      <c r="C11" s="39">
        <f>C9+C10</f>
        <v>133548.49178082193</v>
      </c>
    </row>
    <row r="12" spans="1:3" ht="15.6" x14ac:dyDescent="0.3">
      <c r="A12" s="36"/>
      <c r="B12" s="43" t="s">
        <v>32</v>
      </c>
      <c r="C12" s="44">
        <v>140000</v>
      </c>
    </row>
    <row r="13" spans="1:3" x14ac:dyDescent="0.3">
      <c r="A13" s="21"/>
      <c r="B13" s="21"/>
      <c r="C13" s="22"/>
    </row>
  </sheetData>
  <pageMargins left="0.7" right="0.7" top="0.75" bottom="0.75" header="0.3" footer="0.3"/>
  <pageSetup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D18"/>
  <sheetViews>
    <sheetView tabSelected="1" zoomScaleNormal="100" workbookViewId="0">
      <selection activeCell="E18" sqref="E18"/>
    </sheetView>
  </sheetViews>
  <sheetFormatPr defaultRowHeight="14.4" x14ac:dyDescent="0.3"/>
  <cols>
    <col min="1" max="1" width="2" customWidth="1"/>
    <col min="2" max="2" width="32.5546875" bestFit="1" customWidth="1"/>
    <col min="3" max="3" width="15.5546875" customWidth="1"/>
    <col min="4" max="4" width="8.5546875" customWidth="1"/>
  </cols>
  <sheetData>
    <row r="1" spans="2:3" x14ac:dyDescent="0.3">
      <c r="B1" s="17" t="s">
        <v>14</v>
      </c>
      <c r="C1" s="17" t="s">
        <v>15</v>
      </c>
    </row>
    <row r="2" spans="2:3" x14ac:dyDescent="0.3">
      <c r="B2" s="16" t="s">
        <v>39</v>
      </c>
      <c r="C2" s="29"/>
    </row>
    <row r="3" spans="2:3" x14ac:dyDescent="0.3">
      <c r="B3" s="6" t="s">
        <v>16</v>
      </c>
      <c r="C3" s="7">
        <f>PENYUSUTAN!G22</f>
        <v>1828125</v>
      </c>
    </row>
    <row r="4" spans="2:3" x14ac:dyDescent="0.3">
      <c r="B4" s="16" t="s">
        <v>5</v>
      </c>
      <c r="C4" s="7">
        <f>SUM(C3:C3)</f>
        <v>1828125</v>
      </c>
    </row>
    <row r="5" spans="2:3" x14ac:dyDescent="0.3">
      <c r="B5" s="6"/>
      <c r="C5" s="7"/>
    </row>
    <row r="6" spans="2:3" x14ac:dyDescent="0.3">
      <c r="B6" s="16" t="s">
        <v>38</v>
      </c>
      <c r="C6" s="7"/>
    </row>
    <row r="7" spans="2:3" x14ac:dyDescent="0.3">
      <c r="B7" s="6" t="s">
        <v>13</v>
      </c>
      <c r="C7" s="7">
        <f>'BAHAN HABIS PAKAI'!G40/'BAHAN HABIS PAKAI'!C42</f>
        <v>80466.3</v>
      </c>
    </row>
    <row r="8" spans="2:3" x14ac:dyDescent="0.3">
      <c r="B8" s="6" t="s">
        <v>134</v>
      </c>
      <c r="C8" s="25">
        <f>HPP!C3</f>
        <v>0</v>
      </c>
    </row>
    <row r="9" spans="2:3" x14ac:dyDescent="0.3">
      <c r="B9" s="6" t="s">
        <v>135</v>
      </c>
      <c r="C9" s="25">
        <f>HPP!C5</f>
        <v>0</v>
      </c>
    </row>
    <row r="10" spans="2:3" x14ac:dyDescent="0.3">
      <c r="B10" s="6" t="s">
        <v>136</v>
      </c>
      <c r="C10" s="25">
        <f>HPP!C6</f>
        <v>0</v>
      </c>
    </row>
    <row r="11" spans="2:3" x14ac:dyDescent="0.3">
      <c r="B11" s="16" t="s">
        <v>35</v>
      </c>
      <c r="C11" s="7">
        <f>SUM(C7:C10)</f>
        <v>80466.3</v>
      </c>
    </row>
    <row r="12" spans="2:3" x14ac:dyDescent="0.3">
      <c r="B12" s="6"/>
      <c r="C12" s="7"/>
    </row>
    <row r="13" spans="2:3" x14ac:dyDescent="0.3">
      <c r="B13" s="6"/>
      <c r="C13" s="7"/>
    </row>
    <row r="14" spans="2:3" x14ac:dyDescent="0.3">
      <c r="B14" s="16" t="s">
        <v>40</v>
      </c>
      <c r="C14" s="7">
        <f>HPP!C12</f>
        <v>140000</v>
      </c>
    </row>
    <row r="15" spans="2:3" x14ac:dyDescent="0.3">
      <c r="B15" s="16" t="s">
        <v>36</v>
      </c>
      <c r="C15" s="7">
        <f>C14-C11</f>
        <v>59533.7</v>
      </c>
    </row>
    <row r="16" spans="2:3" x14ac:dyDescent="0.3">
      <c r="B16" s="16" t="s">
        <v>37</v>
      </c>
      <c r="C16" s="30">
        <f>C4/C15</f>
        <v>30.707397658805014</v>
      </c>
    </row>
    <row r="17" spans="3:4" x14ac:dyDescent="0.3">
      <c r="C17" s="2"/>
      <c r="D17" s="2"/>
    </row>
    <row r="18" spans="3:4" x14ac:dyDescent="0.3">
      <c r="C18" s="3"/>
      <c r="D18" s="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16"/>
  <sheetViews>
    <sheetView zoomScale="91" zoomScaleNormal="91" workbookViewId="0">
      <selection activeCell="C4" sqref="C4"/>
    </sheetView>
  </sheetViews>
  <sheetFormatPr defaultRowHeight="14.4" x14ac:dyDescent="0.3"/>
  <cols>
    <col min="1" max="1" width="19.44140625" customWidth="1"/>
    <col min="2" max="13" width="10.6640625" customWidth="1"/>
  </cols>
  <sheetData>
    <row r="1" spans="1:13" x14ac:dyDescent="0.3">
      <c r="A1" s="17" t="s">
        <v>41</v>
      </c>
      <c r="B1" s="48">
        <v>1</v>
      </c>
      <c r="C1" s="48">
        <v>2</v>
      </c>
      <c r="D1" s="48">
        <v>3</v>
      </c>
      <c r="E1" s="48">
        <v>4</v>
      </c>
      <c r="F1" s="48">
        <v>5</v>
      </c>
      <c r="G1" s="48">
        <v>6</v>
      </c>
      <c r="H1" s="48">
        <v>7</v>
      </c>
      <c r="I1" s="48">
        <v>8</v>
      </c>
      <c r="J1" s="48">
        <v>9</v>
      </c>
      <c r="K1" s="48">
        <v>10</v>
      </c>
      <c r="L1" s="48">
        <v>11</v>
      </c>
      <c r="M1" s="48">
        <v>12</v>
      </c>
    </row>
    <row r="2" spans="1:13" x14ac:dyDescent="0.3">
      <c r="A2" s="45" t="s">
        <v>42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</row>
    <row r="3" spans="1:13" x14ac:dyDescent="0.3">
      <c r="A3" s="45" t="s">
        <v>17</v>
      </c>
      <c r="B3" s="64"/>
      <c r="C3" s="65"/>
      <c r="D3" s="65"/>
      <c r="E3" s="65"/>
      <c r="F3" s="65"/>
      <c r="G3" s="65"/>
      <c r="H3" s="65"/>
      <c r="I3" s="65"/>
      <c r="J3" s="65"/>
      <c r="K3" s="65"/>
      <c r="L3" s="65"/>
      <c r="M3" s="66"/>
    </row>
    <row r="4" spans="1:13" ht="29.25" customHeight="1" x14ac:dyDescent="0.3">
      <c r="A4" s="46" t="s">
        <v>46</v>
      </c>
      <c r="B4" s="50">
        <f>'TOTAL INVESTASI'!C6</f>
        <v>56796630</v>
      </c>
      <c r="C4" s="50">
        <f>B16</f>
        <v>8046630</v>
      </c>
      <c r="D4" s="50">
        <f t="shared" ref="D4:M4" si="0">C16</f>
        <v>8046630</v>
      </c>
      <c r="E4" s="50">
        <f t="shared" si="0"/>
        <v>8046630</v>
      </c>
      <c r="F4" s="50">
        <f t="shared" si="0"/>
        <v>8046630</v>
      </c>
      <c r="G4" s="50">
        <f t="shared" si="0"/>
        <v>8046630</v>
      </c>
      <c r="H4" s="50">
        <f t="shared" si="0"/>
        <v>8046630</v>
      </c>
      <c r="I4" s="50">
        <f t="shared" si="0"/>
        <v>8046630</v>
      </c>
      <c r="J4" s="50">
        <f t="shared" si="0"/>
        <v>8046630</v>
      </c>
      <c r="K4" s="50">
        <f t="shared" si="0"/>
        <v>8046630</v>
      </c>
      <c r="L4" s="50">
        <f t="shared" si="0"/>
        <v>8046630</v>
      </c>
      <c r="M4" s="50">
        <f t="shared" si="0"/>
        <v>8046630</v>
      </c>
    </row>
    <row r="5" spans="1:13" x14ac:dyDescent="0.3">
      <c r="A5" s="47" t="s">
        <v>64</v>
      </c>
      <c r="B5" s="64"/>
      <c r="C5" s="65"/>
      <c r="D5" s="65"/>
      <c r="E5" s="65"/>
      <c r="F5" s="65"/>
      <c r="G5" s="65"/>
      <c r="H5" s="65"/>
      <c r="I5" s="65"/>
      <c r="J5" s="65"/>
      <c r="K5" s="65"/>
      <c r="L5" s="65"/>
      <c r="M5" s="66"/>
    </row>
    <row r="6" spans="1:13" ht="30.75" customHeight="1" x14ac:dyDescent="0.3">
      <c r="A6" s="45" t="s">
        <v>47</v>
      </c>
      <c r="B6" s="50">
        <f>PERALATAN!G16</f>
        <v>48750000</v>
      </c>
      <c r="C6" s="50">
        <f>PERALATAN!H13</f>
        <v>0</v>
      </c>
      <c r="D6" s="50">
        <f>PERALATAN!I12</f>
        <v>0</v>
      </c>
      <c r="E6" s="50">
        <f>PERALATAN!J12</f>
        <v>0</v>
      </c>
      <c r="F6" s="50">
        <f>PERALATAN!K12</f>
        <v>0</v>
      </c>
      <c r="G6" s="50">
        <f>PERALATAN!L12</f>
        <v>0</v>
      </c>
      <c r="H6" s="50">
        <f>PERALATAN!M12</f>
        <v>0</v>
      </c>
      <c r="I6" s="50">
        <f>PERALATAN!N12</f>
        <v>0</v>
      </c>
      <c r="J6" s="50">
        <f>PERALATAN!O12</f>
        <v>0</v>
      </c>
      <c r="K6" s="50">
        <f>PERALATAN!P12</f>
        <v>0</v>
      </c>
      <c r="L6" s="50">
        <f>PERALATAN!Q12</f>
        <v>0</v>
      </c>
      <c r="M6" s="50">
        <f>PERALATAN!R12</f>
        <v>0</v>
      </c>
    </row>
    <row r="7" spans="1:13" x14ac:dyDescent="0.3">
      <c r="A7" s="45" t="s">
        <v>23</v>
      </c>
      <c r="B7" s="50">
        <f>HPP!$C$4*'cash flow'!B2</f>
        <v>0</v>
      </c>
      <c r="C7" s="50">
        <f>HPP!$C$4*'cash flow'!C2</f>
        <v>0</v>
      </c>
      <c r="D7" s="50">
        <f>HPP!$C$4*'cash flow'!D2</f>
        <v>0</v>
      </c>
      <c r="E7" s="50">
        <f>HPP!$C$4*'cash flow'!E2</f>
        <v>0</v>
      </c>
      <c r="F7" s="50">
        <f>HPP!$C$4*'cash flow'!F2</f>
        <v>0</v>
      </c>
      <c r="G7" s="50">
        <f>HPP!$C$4*'cash flow'!G2</f>
        <v>0</v>
      </c>
      <c r="H7" s="50">
        <f>HPP!$C$4*'cash flow'!H2</f>
        <v>0</v>
      </c>
      <c r="I7" s="50">
        <f>HPP!$C$4*'cash flow'!I2</f>
        <v>0</v>
      </c>
      <c r="J7" s="50">
        <f>HPP!$C$4*'cash flow'!J2</f>
        <v>0</v>
      </c>
      <c r="K7" s="50">
        <f>HPP!$C$4*'cash flow'!K2</f>
        <v>0</v>
      </c>
      <c r="L7" s="50">
        <f>HPP!$C$4*'cash flow'!L2</f>
        <v>0</v>
      </c>
      <c r="M7" s="50">
        <f>HPP!$C$4*'cash flow'!M2</f>
        <v>0</v>
      </c>
    </row>
    <row r="8" spans="1:13" x14ac:dyDescent="0.3">
      <c r="A8" s="45" t="s">
        <v>27</v>
      </c>
      <c r="B8" s="50">
        <f>HPP!$C$3*'cash flow'!B2</f>
        <v>0</v>
      </c>
      <c r="C8" s="50">
        <f>HPP!$C$3*'cash flow'!C2</f>
        <v>0</v>
      </c>
      <c r="D8" s="50">
        <f>HPP!$C$3*'cash flow'!D2</f>
        <v>0</v>
      </c>
      <c r="E8" s="50">
        <f>HPP!$C$3*'cash flow'!E2</f>
        <v>0</v>
      </c>
      <c r="F8" s="50">
        <f>HPP!$C$3*'cash flow'!F2</f>
        <v>0</v>
      </c>
      <c r="G8" s="50">
        <f>HPP!$C$3*'cash flow'!G2</f>
        <v>0</v>
      </c>
      <c r="H8" s="50">
        <f>HPP!$C$3*'cash flow'!H2</f>
        <v>0</v>
      </c>
      <c r="I8" s="50">
        <f>HPP!$C$3*'cash flow'!I2</f>
        <v>0</v>
      </c>
      <c r="J8" s="50">
        <f>HPP!$C$3*'cash flow'!J2</f>
        <v>0</v>
      </c>
      <c r="K8" s="50">
        <f>HPP!$C$3*'cash flow'!K2</f>
        <v>0</v>
      </c>
      <c r="L8" s="50">
        <f>HPP!$C$3*'cash flow'!L2</f>
        <v>0</v>
      </c>
      <c r="M8" s="50">
        <f>HPP!$C$3*'cash flow'!M2</f>
        <v>0</v>
      </c>
    </row>
    <row r="9" spans="1:13" x14ac:dyDescent="0.3">
      <c r="A9" s="45" t="s">
        <v>34</v>
      </c>
      <c r="B9" s="50">
        <f>HPP!$C$5*B2</f>
        <v>0</v>
      </c>
      <c r="C9" s="50">
        <f>HPP!$C$5*C2</f>
        <v>0</v>
      </c>
      <c r="D9" s="50">
        <f>HPP!$C$5*D2</f>
        <v>0</v>
      </c>
      <c r="E9" s="50">
        <f>HPP!$C$5*E2</f>
        <v>0</v>
      </c>
      <c r="F9" s="50">
        <f>HPP!$C$5*F2</f>
        <v>0</v>
      </c>
      <c r="G9" s="50">
        <f>HPP!$C$5*G2</f>
        <v>0</v>
      </c>
      <c r="H9" s="50">
        <f>HPP!$C$5*H2</f>
        <v>0</v>
      </c>
      <c r="I9" s="50">
        <f>HPP!$C$5*I2</f>
        <v>0</v>
      </c>
      <c r="J9" s="50">
        <f>HPP!$C$5*J2</f>
        <v>0</v>
      </c>
      <c r="K9" s="50">
        <f>HPP!$C$5*K2</f>
        <v>0</v>
      </c>
      <c r="L9" s="50">
        <f>HPP!$C$5*L2</f>
        <v>0</v>
      </c>
      <c r="M9" s="50">
        <f>HPP!$C$5*M2</f>
        <v>0</v>
      </c>
    </row>
    <row r="10" spans="1:13" x14ac:dyDescent="0.3">
      <c r="A10" s="45" t="s">
        <v>11</v>
      </c>
      <c r="B10" s="50">
        <f>HPP!$C$6</f>
        <v>0</v>
      </c>
      <c r="C10" s="50">
        <f>HPP!$C$6</f>
        <v>0</v>
      </c>
      <c r="D10" s="50">
        <f>HPP!$C$6</f>
        <v>0</v>
      </c>
      <c r="E10" s="50">
        <f>HPP!$C$6</f>
        <v>0</v>
      </c>
      <c r="F10" s="50">
        <f>HPP!$C$6</f>
        <v>0</v>
      </c>
      <c r="G10" s="50">
        <f>HPP!$C$6</f>
        <v>0</v>
      </c>
      <c r="H10" s="50">
        <f>HPP!$C$6</f>
        <v>0</v>
      </c>
      <c r="I10" s="50">
        <f>HPP!$C$6</f>
        <v>0</v>
      </c>
      <c r="J10" s="50">
        <f>HPP!$C$6</f>
        <v>0</v>
      </c>
      <c r="K10" s="50">
        <f>HPP!$C$6</f>
        <v>0</v>
      </c>
      <c r="L10" s="50">
        <f>HPP!$C$6</f>
        <v>0</v>
      </c>
      <c r="M10" s="50">
        <f>HPP!$C$6</f>
        <v>0</v>
      </c>
    </row>
    <row r="11" spans="1:13" x14ac:dyDescent="0.3">
      <c r="A11" s="47" t="s">
        <v>5</v>
      </c>
      <c r="B11" s="51">
        <f>SUM(B6:B10)</f>
        <v>48750000</v>
      </c>
      <c r="C11" s="51">
        <f t="shared" ref="C11:M11" si="1">SUM(C6:C10)</f>
        <v>0</v>
      </c>
      <c r="D11" s="51">
        <f t="shared" si="1"/>
        <v>0</v>
      </c>
      <c r="E11" s="51">
        <f t="shared" si="1"/>
        <v>0</v>
      </c>
      <c r="F11" s="51">
        <f t="shared" si="1"/>
        <v>0</v>
      </c>
      <c r="G11" s="51">
        <f t="shared" si="1"/>
        <v>0</v>
      </c>
      <c r="H11" s="51">
        <f t="shared" si="1"/>
        <v>0</v>
      </c>
      <c r="I11" s="51">
        <f t="shared" si="1"/>
        <v>0</v>
      </c>
      <c r="J11" s="51">
        <f t="shared" si="1"/>
        <v>0</v>
      </c>
      <c r="K11" s="51">
        <f t="shared" si="1"/>
        <v>0</v>
      </c>
      <c r="L11" s="51">
        <f t="shared" si="1"/>
        <v>0</v>
      </c>
      <c r="M11" s="51">
        <f t="shared" si="1"/>
        <v>0</v>
      </c>
    </row>
    <row r="12" spans="1:13" x14ac:dyDescent="0.3">
      <c r="A12" s="46" t="s">
        <v>18</v>
      </c>
      <c r="B12" s="50">
        <f>B4-B11</f>
        <v>8046630</v>
      </c>
      <c r="C12" s="50">
        <f t="shared" ref="C12:M12" si="2">C4-C11</f>
        <v>8046630</v>
      </c>
      <c r="D12" s="50">
        <f t="shared" si="2"/>
        <v>8046630</v>
      </c>
      <c r="E12" s="50">
        <f t="shared" si="2"/>
        <v>8046630</v>
      </c>
      <c r="F12" s="50">
        <f t="shared" si="2"/>
        <v>8046630</v>
      </c>
      <c r="G12" s="50">
        <f t="shared" si="2"/>
        <v>8046630</v>
      </c>
      <c r="H12" s="50">
        <f t="shared" si="2"/>
        <v>8046630</v>
      </c>
      <c r="I12" s="50">
        <f t="shared" si="2"/>
        <v>8046630</v>
      </c>
      <c r="J12" s="50">
        <f t="shared" si="2"/>
        <v>8046630</v>
      </c>
      <c r="K12" s="50">
        <f t="shared" si="2"/>
        <v>8046630</v>
      </c>
      <c r="L12" s="50">
        <f t="shared" si="2"/>
        <v>8046630</v>
      </c>
      <c r="M12" s="50">
        <f t="shared" si="2"/>
        <v>8046630</v>
      </c>
    </row>
    <row r="13" spans="1:13" x14ac:dyDescent="0.3">
      <c r="A13" s="47" t="s">
        <v>43</v>
      </c>
      <c r="B13" s="64"/>
      <c r="C13" s="65"/>
      <c r="D13" s="65"/>
      <c r="E13" s="65"/>
      <c r="F13" s="65"/>
      <c r="G13" s="65"/>
      <c r="H13" s="65"/>
      <c r="I13" s="65"/>
      <c r="J13" s="65"/>
      <c r="K13" s="65"/>
      <c r="L13" s="65"/>
      <c r="M13" s="66"/>
    </row>
    <row r="14" spans="1:13" x14ac:dyDescent="0.3">
      <c r="A14" s="45" t="s">
        <v>45</v>
      </c>
      <c r="B14" s="50">
        <f>HPP!$C$12*B2</f>
        <v>0</v>
      </c>
      <c r="C14" s="50">
        <f>HPP!$C$12*C2</f>
        <v>0</v>
      </c>
      <c r="D14" s="50">
        <f>HPP!$C$12*D2</f>
        <v>0</v>
      </c>
      <c r="E14" s="50">
        <f>HPP!$C$12*E2</f>
        <v>0</v>
      </c>
      <c r="F14" s="50">
        <f>HPP!$C$12*F2</f>
        <v>0</v>
      </c>
      <c r="G14" s="50">
        <f>HPP!$C$12*G2</f>
        <v>0</v>
      </c>
      <c r="H14" s="50">
        <f>HPP!$C$12*H2</f>
        <v>0</v>
      </c>
      <c r="I14" s="50">
        <f>HPP!$C$12*I2</f>
        <v>0</v>
      </c>
      <c r="J14" s="50">
        <f>HPP!$C$12*J2</f>
        <v>0</v>
      </c>
      <c r="K14" s="50">
        <f>HPP!$C$12*K2</f>
        <v>0</v>
      </c>
      <c r="L14" s="50">
        <f>HPP!$C$12*L2</f>
        <v>0</v>
      </c>
      <c r="M14" s="50">
        <f>HPP!$C$12*M2</f>
        <v>0</v>
      </c>
    </row>
    <row r="15" spans="1:13" x14ac:dyDescent="0.3">
      <c r="A15" s="45" t="s">
        <v>5</v>
      </c>
      <c r="B15" s="50">
        <f>B14</f>
        <v>0</v>
      </c>
      <c r="C15" s="50">
        <f t="shared" ref="C15:M15" si="3">C14</f>
        <v>0</v>
      </c>
      <c r="D15" s="50">
        <f t="shared" si="3"/>
        <v>0</v>
      </c>
      <c r="E15" s="50">
        <f t="shared" si="3"/>
        <v>0</v>
      </c>
      <c r="F15" s="50">
        <f t="shared" si="3"/>
        <v>0</v>
      </c>
      <c r="G15" s="50">
        <f t="shared" si="3"/>
        <v>0</v>
      </c>
      <c r="H15" s="50">
        <f t="shared" si="3"/>
        <v>0</v>
      </c>
      <c r="I15" s="50">
        <f t="shared" si="3"/>
        <v>0</v>
      </c>
      <c r="J15" s="50">
        <f t="shared" si="3"/>
        <v>0</v>
      </c>
      <c r="K15" s="50">
        <f t="shared" si="3"/>
        <v>0</v>
      </c>
      <c r="L15" s="50">
        <f t="shared" si="3"/>
        <v>0</v>
      </c>
      <c r="M15" s="50">
        <f t="shared" si="3"/>
        <v>0</v>
      </c>
    </row>
    <row r="16" spans="1:13" ht="29.25" customHeight="1" x14ac:dyDescent="0.3">
      <c r="A16" s="45" t="s">
        <v>44</v>
      </c>
      <c r="B16" s="50">
        <f>B12+B15</f>
        <v>8046630</v>
      </c>
      <c r="C16" s="50">
        <f t="shared" ref="C16:M16" si="4">C12+C15</f>
        <v>8046630</v>
      </c>
      <c r="D16" s="50">
        <f t="shared" si="4"/>
        <v>8046630</v>
      </c>
      <c r="E16" s="50">
        <f t="shared" si="4"/>
        <v>8046630</v>
      </c>
      <c r="F16" s="50">
        <f t="shared" si="4"/>
        <v>8046630</v>
      </c>
      <c r="G16" s="50">
        <f t="shared" si="4"/>
        <v>8046630</v>
      </c>
      <c r="H16" s="50">
        <f t="shared" si="4"/>
        <v>8046630</v>
      </c>
      <c r="I16" s="50">
        <f t="shared" si="4"/>
        <v>8046630</v>
      </c>
      <c r="J16" s="50">
        <f t="shared" si="4"/>
        <v>8046630</v>
      </c>
      <c r="K16" s="50">
        <f t="shared" si="4"/>
        <v>8046630</v>
      </c>
      <c r="L16" s="50">
        <f t="shared" si="4"/>
        <v>8046630</v>
      </c>
      <c r="M16" s="50">
        <f t="shared" si="4"/>
        <v>8046630</v>
      </c>
    </row>
  </sheetData>
  <mergeCells count="3">
    <mergeCell ref="B13:M13"/>
    <mergeCell ref="B5:M5"/>
    <mergeCell ref="B3:M3"/>
  </mergeCells>
  <pageMargins left="0.7" right="0.7" top="0.75" bottom="0.75" header="0.3" footer="0.3"/>
  <pageSetup paperSize="9" orientation="portrait" horizontalDpi="4294967293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11"/>
  <sheetViews>
    <sheetView workbookViewId="0">
      <selection activeCell="B12" sqref="B12"/>
    </sheetView>
  </sheetViews>
  <sheetFormatPr defaultRowHeight="14.4" x14ac:dyDescent="0.3"/>
  <cols>
    <col min="1" max="1" width="36.33203125" customWidth="1"/>
    <col min="2" max="4" width="12.6640625" bestFit="1" customWidth="1"/>
    <col min="5" max="5" width="13" bestFit="1" customWidth="1"/>
    <col min="6" max="13" width="13.88671875" bestFit="1" customWidth="1"/>
  </cols>
  <sheetData>
    <row r="1" spans="1:13" x14ac:dyDescent="0.3">
      <c r="A1" s="17" t="s">
        <v>12</v>
      </c>
      <c r="B1" s="17">
        <v>1</v>
      </c>
      <c r="C1" s="17">
        <v>2</v>
      </c>
      <c r="D1" s="17">
        <v>3</v>
      </c>
      <c r="E1" s="17">
        <v>4</v>
      </c>
      <c r="F1" s="17">
        <v>5</v>
      </c>
      <c r="G1" s="17">
        <v>6</v>
      </c>
      <c r="H1" s="17">
        <v>7</v>
      </c>
      <c r="I1" s="17">
        <v>8</v>
      </c>
      <c r="J1" s="17">
        <v>9</v>
      </c>
      <c r="K1" s="17">
        <v>10</v>
      </c>
      <c r="L1" s="17">
        <v>11</v>
      </c>
      <c r="M1" s="17">
        <v>12</v>
      </c>
    </row>
    <row r="2" spans="1:13" x14ac:dyDescent="0.3">
      <c r="A2" s="6" t="s">
        <v>68</v>
      </c>
      <c r="B2" s="25">
        <f>'cash flow'!B14</f>
        <v>0</v>
      </c>
      <c r="C2" s="25">
        <f>'cash flow'!C14</f>
        <v>0</v>
      </c>
      <c r="D2" s="25">
        <f>'cash flow'!D14</f>
        <v>0</v>
      </c>
      <c r="E2" s="25">
        <f>'cash flow'!E14</f>
        <v>0</v>
      </c>
      <c r="F2" s="25">
        <f>'cash flow'!F14</f>
        <v>0</v>
      </c>
      <c r="G2" s="25">
        <f>'cash flow'!G14</f>
        <v>0</v>
      </c>
      <c r="H2" s="25">
        <f>'cash flow'!H14</f>
        <v>0</v>
      </c>
      <c r="I2" s="25">
        <f>'cash flow'!I14</f>
        <v>0</v>
      </c>
      <c r="J2" s="25">
        <f>'cash flow'!J14</f>
        <v>0</v>
      </c>
      <c r="K2" s="25">
        <f>'cash flow'!K14</f>
        <v>0</v>
      </c>
      <c r="L2" s="25">
        <f>'cash flow'!L14</f>
        <v>0</v>
      </c>
      <c r="M2" s="25">
        <f>'cash flow'!M14</f>
        <v>0</v>
      </c>
    </row>
    <row r="3" spans="1:13" x14ac:dyDescent="0.3">
      <c r="A3" s="6" t="s">
        <v>67</v>
      </c>
      <c r="B3" s="25">
        <f>'cash flow'!B7+'cash flow'!B8</f>
        <v>0</v>
      </c>
      <c r="C3" s="25">
        <f>'cash flow'!C7+'cash flow'!C8</f>
        <v>0</v>
      </c>
      <c r="D3" s="25">
        <f>'cash flow'!D7+'cash flow'!D8</f>
        <v>0</v>
      </c>
      <c r="E3" s="25">
        <f>'cash flow'!E7+'cash flow'!E8</f>
        <v>0</v>
      </c>
      <c r="F3" s="25">
        <f>'cash flow'!F7+'cash flow'!F8</f>
        <v>0</v>
      </c>
      <c r="G3" s="25">
        <f>'cash flow'!G7+'cash flow'!G8</f>
        <v>0</v>
      </c>
      <c r="H3" s="25">
        <f>'cash flow'!H7+'cash flow'!H8</f>
        <v>0</v>
      </c>
      <c r="I3" s="25">
        <f>'cash flow'!I7+'cash flow'!I8</f>
        <v>0</v>
      </c>
      <c r="J3" s="25">
        <f>'cash flow'!J7+'cash flow'!J8</f>
        <v>0</v>
      </c>
      <c r="K3" s="25">
        <f>'cash flow'!K7+'cash flow'!K8</f>
        <v>0</v>
      </c>
      <c r="L3" s="25">
        <f>'cash flow'!L7+'cash flow'!L8</f>
        <v>0</v>
      </c>
      <c r="M3" s="25">
        <f>'cash flow'!M7+'cash flow'!M8</f>
        <v>0</v>
      </c>
    </row>
    <row r="4" spans="1:13" x14ac:dyDescent="0.3">
      <c r="A4" s="6" t="s">
        <v>69</v>
      </c>
      <c r="B4" s="25">
        <f>B2-B3</f>
        <v>0</v>
      </c>
      <c r="C4" s="25">
        <f t="shared" ref="C4:M4" si="0">C2-C3</f>
        <v>0</v>
      </c>
      <c r="D4" s="25">
        <f t="shared" si="0"/>
        <v>0</v>
      </c>
      <c r="E4" s="25">
        <f t="shared" si="0"/>
        <v>0</v>
      </c>
      <c r="F4" s="25">
        <f t="shared" si="0"/>
        <v>0</v>
      </c>
      <c r="G4" s="25">
        <f t="shared" si="0"/>
        <v>0</v>
      </c>
      <c r="H4" s="25">
        <f t="shared" si="0"/>
        <v>0</v>
      </c>
      <c r="I4" s="25">
        <f t="shared" si="0"/>
        <v>0</v>
      </c>
      <c r="J4" s="25">
        <f t="shared" si="0"/>
        <v>0</v>
      </c>
      <c r="K4" s="25">
        <f t="shared" si="0"/>
        <v>0</v>
      </c>
      <c r="L4" s="25">
        <f t="shared" si="0"/>
        <v>0</v>
      </c>
      <c r="M4" s="25">
        <f t="shared" si="0"/>
        <v>0</v>
      </c>
    </row>
    <row r="5" spans="1:13" x14ac:dyDescent="0.3">
      <c r="A5" s="6" t="s">
        <v>48</v>
      </c>
      <c r="B5" s="25">
        <f>'cash flow'!B9+'cash flow'!B10</f>
        <v>0</v>
      </c>
      <c r="C5" s="25">
        <f>'cash flow'!C9+'cash flow'!C10</f>
        <v>0</v>
      </c>
      <c r="D5" s="25">
        <f>'cash flow'!D9+'cash flow'!D10</f>
        <v>0</v>
      </c>
      <c r="E5" s="25">
        <f>'cash flow'!E9+'cash flow'!E10</f>
        <v>0</v>
      </c>
      <c r="F5" s="25">
        <f>'cash flow'!F9+'cash flow'!F10</f>
        <v>0</v>
      </c>
      <c r="G5" s="25">
        <f>'cash flow'!G9+'cash flow'!G10</f>
        <v>0</v>
      </c>
      <c r="H5" s="25">
        <f>'cash flow'!H9+'cash flow'!H10</f>
        <v>0</v>
      </c>
      <c r="I5" s="25">
        <f>'cash flow'!I9+'cash flow'!I10</f>
        <v>0</v>
      </c>
      <c r="J5" s="25">
        <f>'cash flow'!J9+'cash flow'!J10</f>
        <v>0</v>
      </c>
      <c r="K5" s="25">
        <f>'cash flow'!K9+'cash flow'!K10</f>
        <v>0</v>
      </c>
      <c r="L5" s="25">
        <f>'cash flow'!L9+'cash flow'!L10</f>
        <v>0</v>
      </c>
      <c r="M5" s="25">
        <f>'cash flow'!M9+'cash flow'!M10</f>
        <v>0</v>
      </c>
    </row>
    <row r="6" spans="1:13" x14ac:dyDescent="0.3">
      <c r="A6" s="6" t="s">
        <v>49</v>
      </c>
      <c r="B6" s="25">
        <f>B4-B5</f>
        <v>0</v>
      </c>
      <c r="C6" s="25">
        <f t="shared" ref="C6:M6" si="1">C4-C5</f>
        <v>0</v>
      </c>
      <c r="D6" s="25">
        <f t="shared" si="1"/>
        <v>0</v>
      </c>
      <c r="E6" s="25">
        <f t="shared" si="1"/>
        <v>0</v>
      </c>
      <c r="F6" s="25">
        <f t="shared" si="1"/>
        <v>0</v>
      </c>
      <c r="G6" s="25">
        <f t="shared" si="1"/>
        <v>0</v>
      </c>
      <c r="H6" s="25">
        <f t="shared" si="1"/>
        <v>0</v>
      </c>
      <c r="I6" s="25">
        <f t="shared" si="1"/>
        <v>0</v>
      </c>
      <c r="J6" s="25">
        <f t="shared" si="1"/>
        <v>0</v>
      </c>
      <c r="K6" s="25">
        <f t="shared" si="1"/>
        <v>0</v>
      </c>
      <c r="L6" s="25">
        <f t="shared" si="1"/>
        <v>0</v>
      </c>
      <c r="M6" s="25">
        <f t="shared" si="1"/>
        <v>0</v>
      </c>
    </row>
    <row r="7" spans="1:13" x14ac:dyDescent="0.3">
      <c r="A7" s="6" t="s">
        <v>50</v>
      </c>
      <c r="B7" s="25">
        <f>PENYUSUTAN!$F$2</f>
        <v>225000</v>
      </c>
      <c r="C7" s="25">
        <f>PENYUSUTAN!$F$2</f>
        <v>225000</v>
      </c>
      <c r="D7" s="25">
        <f>PENYUSUTAN!$F$2</f>
        <v>225000</v>
      </c>
      <c r="E7" s="25">
        <f>PENYUSUTAN!$F$2</f>
        <v>225000</v>
      </c>
      <c r="F7" s="25">
        <f>PENYUSUTAN!$F$2</f>
        <v>225000</v>
      </c>
      <c r="G7" s="25">
        <f>PENYUSUTAN!$F$2</f>
        <v>225000</v>
      </c>
      <c r="H7" s="25">
        <f>PENYUSUTAN!$F$2</f>
        <v>225000</v>
      </c>
      <c r="I7" s="25">
        <f>PENYUSUTAN!$F$2</f>
        <v>225000</v>
      </c>
      <c r="J7" s="25">
        <f>PENYUSUTAN!$F$2</f>
        <v>225000</v>
      </c>
      <c r="K7" s="25">
        <f>PENYUSUTAN!$F$2</f>
        <v>225000</v>
      </c>
      <c r="L7" s="25">
        <f>PENYUSUTAN!$F$2</f>
        <v>225000</v>
      </c>
      <c r="M7" s="25">
        <f>PENYUSUTAN!$F$2</f>
        <v>225000</v>
      </c>
    </row>
    <row r="8" spans="1:13" x14ac:dyDescent="0.3">
      <c r="A8" s="6" t="s">
        <v>70</v>
      </c>
      <c r="B8" s="25">
        <f>B6-B7</f>
        <v>-225000</v>
      </c>
      <c r="C8" s="25">
        <f t="shared" ref="C8:M8" si="2">C6-C7</f>
        <v>-225000</v>
      </c>
      <c r="D8" s="25">
        <f t="shared" si="2"/>
        <v>-225000</v>
      </c>
      <c r="E8" s="25">
        <f t="shared" si="2"/>
        <v>-225000</v>
      </c>
      <c r="F8" s="25">
        <f t="shared" si="2"/>
        <v>-225000</v>
      </c>
      <c r="G8" s="25">
        <f t="shared" si="2"/>
        <v>-225000</v>
      </c>
      <c r="H8" s="25">
        <f t="shared" si="2"/>
        <v>-225000</v>
      </c>
      <c r="I8" s="25">
        <f t="shared" si="2"/>
        <v>-225000</v>
      </c>
      <c r="J8" s="25">
        <f t="shared" si="2"/>
        <v>-225000</v>
      </c>
      <c r="K8" s="25">
        <f t="shared" si="2"/>
        <v>-225000</v>
      </c>
      <c r="L8" s="25">
        <f t="shared" si="2"/>
        <v>-225000</v>
      </c>
      <c r="M8" s="25">
        <f t="shared" si="2"/>
        <v>-225000</v>
      </c>
    </row>
    <row r="9" spans="1:13" x14ac:dyDescent="0.3">
      <c r="A9" s="17" t="s">
        <v>20</v>
      </c>
      <c r="B9" s="26">
        <f>B8</f>
        <v>-225000</v>
      </c>
      <c r="C9" s="26">
        <f>B9+C8</f>
        <v>-450000</v>
      </c>
      <c r="D9" s="26">
        <f t="shared" ref="D9:M9" si="3">C9+D8</f>
        <v>-675000</v>
      </c>
      <c r="E9" s="26">
        <f t="shared" si="3"/>
        <v>-900000</v>
      </c>
      <c r="F9" s="26">
        <f t="shared" si="3"/>
        <v>-1125000</v>
      </c>
      <c r="G9" s="26">
        <f t="shared" si="3"/>
        <v>-1350000</v>
      </c>
      <c r="H9" s="26">
        <f t="shared" si="3"/>
        <v>-1575000</v>
      </c>
      <c r="I9" s="26">
        <f t="shared" si="3"/>
        <v>-1800000</v>
      </c>
      <c r="J9" s="26">
        <f t="shared" si="3"/>
        <v>-2025000</v>
      </c>
      <c r="K9" s="26">
        <f t="shared" si="3"/>
        <v>-2250000</v>
      </c>
      <c r="L9" s="26">
        <f t="shared" si="3"/>
        <v>-2475000</v>
      </c>
      <c r="M9" s="26">
        <f t="shared" si="3"/>
        <v>-2700000</v>
      </c>
    </row>
    <row r="11" spans="1:13" x14ac:dyDescent="0.3">
      <c r="B11" s="4"/>
    </row>
  </sheetData>
  <pageMargins left="0.7" right="0.7" top="0.75" bottom="0.75" header="0.3" footer="0.3"/>
  <pageSetup paperSize="9" orientation="portrait" horizontalDpi="4294967293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4:N23"/>
  <sheetViews>
    <sheetView zoomScale="87" zoomScaleNormal="87" workbookViewId="0">
      <selection activeCell="F26" sqref="F26"/>
    </sheetView>
  </sheetViews>
  <sheetFormatPr defaultRowHeight="14.4" x14ac:dyDescent="0.3"/>
  <cols>
    <col min="2" max="2" width="26" bestFit="1" customWidth="1"/>
    <col min="3" max="3" width="19.109375" customWidth="1"/>
    <col min="4" max="4" width="16.88671875" customWidth="1"/>
    <col min="5" max="5" width="15.109375" bestFit="1" customWidth="1"/>
    <col min="6" max="6" width="13.6640625" bestFit="1" customWidth="1"/>
    <col min="7" max="14" width="15.109375" bestFit="1" customWidth="1"/>
  </cols>
  <sheetData>
    <row r="4" spans="2:11" x14ac:dyDescent="0.3">
      <c r="B4" s="17" t="s">
        <v>53</v>
      </c>
      <c r="C4" s="17" t="s">
        <v>71</v>
      </c>
      <c r="D4" s="17" t="s">
        <v>72</v>
      </c>
      <c r="E4" s="71" t="s">
        <v>73</v>
      </c>
      <c r="F4" s="72"/>
      <c r="G4" s="17" t="s">
        <v>51</v>
      </c>
      <c r="H4" s="17" t="s">
        <v>74</v>
      </c>
      <c r="I4" s="17"/>
      <c r="J4" s="17" t="s">
        <v>52</v>
      </c>
      <c r="K4" s="17" t="s">
        <v>74</v>
      </c>
    </row>
    <row r="5" spans="2:11" x14ac:dyDescent="0.3">
      <c r="B5" s="6"/>
      <c r="C5" s="6"/>
      <c r="D5" s="6"/>
      <c r="E5" s="69"/>
      <c r="F5" s="70"/>
      <c r="G5" s="6">
        <v>0.1</v>
      </c>
      <c r="H5" s="25"/>
      <c r="I5" s="6"/>
      <c r="J5" s="6">
        <v>0.8</v>
      </c>
      <c r="K5" s="6"/>
    </row>
    <row r="6" spans="2:11" x14ac:dyDescent="0.3">
      <c r="B6" s="6">
        <v>1</v>
      </c>
      <c r="C6" s="25">
        <f>'laporan laba rvgi'!M9</f>
        <v>-2700000</v>
      </c>
      <c r="D6" s="25">
        <f>PENYUSUTAN!C2</f>
        <v>500000</v>
      </c>
      <c r="E6" s="67">
        <f>C6+D6</f>
        <v>-2200000</v>
      </c>
      <c r="F6" s="68"/>
      <c r="G6" s="6">
        <f>1/(1+G5)^B6</f>
        <v>0.90909090909090906</v>
      </c>
      <c r="H6" s="25">
        <f>E6*G6</f>
        <v>-2000000</v>
      </c>
      <c r="I6" s="6"/>
      <c r="J6" s="6">
        <f>1/(1+J5)^B6</f>
        <v>0.55555555555555558</v>
      </c>
      <c r="K6" s="25">
        <f>E6*J6</f>
        <v>-1222222.2222222222</v>
      </c>
    </row>
    <row r="7" spans="2:11" x14ac:dyDescent="0.3">
      <c r="B7" s="74" t="s">
        <v>56</v>
      </c>
      <c r="C7" s="74"/>
      <c r="D7" s="74"/>
      <c r="E7" s="74"/>
      <c r="F7" s="74"/>
      <c r="G7" s="6"/>
      <c r="H7" s="25">
        <f>('cash flow'!M16-'laporan laba rvgi'!M9)*'stvdi kelayakan'!G6</f>
        <v>9769663.6363636367</v>
      </c>
      <c r="I7" s="6"/>
      <c r="J7" s="6"/>
      <c r="K7" s="25">
        <f>('cash flow'!M16-'laporan laba rvgi'!M9)*'stvdi kelayakan'!J6</f>
        <v>5970350</v>
      </c>
    </row>
    <row r="8" spans="2:11" x14ac:dyDescent="0.3">
      <c r="B8" s="74" t="s">
        <v>55</v>
      </c>
      <c r="C8" s="74"/>
      <c r="D8" s="74"/>
      <c r="E8" s="74"/>
      <c r="F8" s="74"/>
      <c r="G8" s="6"/>
      <c r="H8" s="25">
        <f>H6+H7</f>
        <v>7769663.6363636367</v>
      </c>
      <c r="I8" s="6"/>
      <c r="J8" s="6"/>
      <c r="K8" s="25">
        <f>K6+K7</f>
        <v>4748127.777777778</v>
      </c>
    </row>
    <row r="9" spans="2:11" x14ac:dyDescent="0.3">
      <c r="B9" s="74" t="s">
        <v>54</v>
      </c>
      <c r="C9" s="74"/>
      <c r="D9" s="74"/>
      <c r="E9" s="74"/>
      <c r="F9" s="74"/>
      <c r="G9" s="6"/>
      <c r="H9" s="25">
        <f>'cash flow'!B4</f>
        <v>56796630</v>
      </c>
      <c r="I9" s="6"/>
      <c r="J9" s="6"/>
      <c r="K9" s="25">
        <f>H9</f>
        <v>56796630</v>
      </c>
    </row>
    <row r="10" spans="2:11" x14ac:dyDescent="0.3">
      <c r="B10" s="63" t="s">
        <v>21</v>
      </c>
      <c r="C10" s="63"/>
      <c r="D10" s="63"/>
      <c r="E10" s="63"/>
      <c r="F10" s="63"/>
      <c r="G10" s="17"/>
      <c r="H10" s="26">
        <f>H8-H9</f>
        <v>-49026966.36363636</v>
      </c>
      <c r="I10" s="17"/>
      <c r="J10" s="17"/>
      <c r="K10" s="26">
        <f>K8-K9</f>
        <v>-52048502.222222224</v>
      </c>
    </row>
    <row r="13" spans="2:11" x14ac:dyDescent="0.3">
      <c r="B13" s="31" t="s">
        <v>57</v>
      </c>
      <c r="C13" s="17">
        <f>G5+(H10/(H10-K10))*(J5-G5)</f>
        <v>-11.258090077609515</v>
      </c>
    </row>
    <row r="15" spans="2:11" x14ac:dyDescent="0.3">
      <c r="B15" s="73" t="s">
        <v>58</v>
      </c>
      <c r="C15" s="73"/>
    </row>
    <row r="16" spans="2:11" x14ac:dyDescent="0.3">
      <c r="B16" s="8" t="s">
        <v>45</v>
      </c>
      <c r="C16" s="28">
        <f>SUM('laporan laba rvgi'!B2:M2)</f>
        <v>0</v>
      </c>
    </row>
    <row r="17" spans="2:14" x14ac:dyDescent="0.3">
      <c r="B17" s="8" t="s">
        <v>59</v>
      </c>
      <c r="C17" s="28">
        <f>SUM('cash flow'!B11:M11)-('cash flow'!B6)+PENYUSUTAN!C2</f>
        <v>500000</v>
      </c>
    </row>
    <row r="18" spans="2:14" x14ac:dyDescent="0.3">
      <c r="B18" s="27" t="s">
        <v>60</v>
      </c>
      <c r="C18" s="27">
        <f>C16/C17</f>
        <v>0</v>
      </c>
    </row>
    <row r="20" spans="2:14" x14ac:dyDescent="0.3">
      <c r="B20" s="32" t="s">
        <v>61</v>
      </c>
      <c r="C20" s="33" t="s">
        <v>75</v>
      </c>
    </row>
    <row r="21" spans="2:14" x14ac:dyDescent="0.3">
      <c r="B21" s="17" t="s">
        <v>12</v>
      </c>
      <c r="C21" s="17">
        <v>1</v>
      </c>
      <c r="D21" s="17">
        <v>2</v>
      </c>
      <c r="E21" s="17">
        <v>3</v>
      </c>
      <c r="F21" s="17">
        <v>4</v>
      </c>
      <c r="G21" s="17">
        <v>5</v>
      </c>
      <c r="H21" s="17">
        <v>6</v>
      </c>
      <c r="I21" s="17">
        <v>7</v>
      </c>
      <c r="J21" s="17">
        <v>8</v>
      </c>
      <c r="K21" s="17">
        <v>9</v>
      </c>
      <c r="L21" s="17">
        <v>10</v>
      </c>
      <c r="M21" s="17">
        <v>11</v>
      </c>
      <c r="N21" s="17">
        <v>12</v>
      </c>
    </row>
    <row r="22" spans="2:14" x14ac:dyDescent="0.3">
      <c r="B22" s="5" t="s">
        <v>62</v>
      </c>
      <c r="C22" s="34">
        <f>'laporan laba rvgi'!B8+'laporan laba rvgi'!B7</f>
        <v>0</v>
      </c>
      <c r="D22" s="34">
        <f>'laporan laba rvgi'!C8+'laporan laba rvgi'!C7</f>
        <v>0</v>
      </c>
      <c r="E22" s="34">
        <f>'laporan laba rvgi'!D8+'laporan laba rvgi'!D7</f>
        <v>0</v>
      </c>
      <c r="F22" s="34">
        <f>'laporan laba rvgi'!E8+'laporan laba rvgi'!E7</f>
        <v>0</v>
      </c>
      <c r="G22" s="34">
        <f>'laporan laba rvgi'!F8+'laporan laba rvgi'!F7</f>
        <v>0</v>
      </c>
      <c r="H22" s="34">
        <f>'laporan laba rvgi'!G8+'laporan laba rvgi'!G7</f>
        <v>0</v>
      </c>
      <c r="I22" s="34">
        <f>'laporan laba rvgi'!H8+'laporan laba rvgi'!H7</f>
        <v>0</v>
      </c>
      <c r="J22" s="34">
        <f>'laporan laba rvgi'!I8+'laporan laba rvgi'!I7</f>
        <v>0</v>
      </c>
      <c r="K22" s="34">
        <f>'laporan laba rvgi'!J8+'laporan laba rvgi'!J7</f>
        <v>0</v>
      </c>
      <c r="L22" s="34">
        <f>'laporan laba rvgi'!K8+'laporan laba rvgi'!K7</f>
        <v>0</v>
      </c>
      <c r="M22" s="34">
        <f>'laporan laba rvgi'!L8+'laporan laba rvgi'!L7</f>
        <v>0</v>
      </c>
      <c r="N22" s="34">
        <f>'laporan laba rvgi'!M8+'laporan laba rvgi'!M7</f>
        <v>0</v>
      </c>
    </row>
    <row r="23" spans="2:14" x14ac:dyDescent="0.3">
      <c r="B23" s="5" t="s">
        <v>63</v>
      </c>
      <c r="C23" s="34">
        <f>C22</f>
        <v>0</v>
      </c>
      <c r="D23" s="34">
        <f>C23+D22</f>
        <v>0</v>
      </c>
      <c r="E23" s="34">
        <f t="shared" ref="E23:N23" si="0">D23+E22</f>
        <v>0</v>
      </c>
      <c r="F23" s="34">
        <f t="shared" si="0"/>
        <v>0</v>
      </c>
      <c r="G23" s="34">
        <f t="shared" si="0"/>
        <v>0</v>
      </c>
      <c r="H23" s="34">
        <f t="shared" si="0"/>
        <v>0</v>
      </c>
      <c r="I23" s="34">
        <f t="shared" si="0"/>
        <v>0</v>
      </c>
      <c r="J23" s="34">
        <f t="shared" si="0"/>
        <v>0</v>
      </c>
      <c r="K23" s="34">
        <f t="shared" si="0"/>
        <v>0</v>
      </c>
      <c r="L23" s="34">
        <f t="shared" si="0"/>
        <v>0</v>
      </c>
      <c r="M23" s="35">
        <f t="shared" si="0"/>
        <v>0</v>
      </c>
      <c r="N23" s="35">
        <f t="shared" si="0"/>
        <v>0</v>
      </c>
    </row>
  </sheetData>
  <mergeCells count="8">
    <mergeCell ref="E6:F6"/>
    <mergeCell ref="E5:F5"/>
    <mergeCell ref="E4:F4"/>
    <mergeCell ref="B15:C15"/>
    <mergeCell ref="B7:F7"/>
    <mergeCell ref="B8:F8"/>
    <mergeCell ref="B9:F9"/>
    <mergeCell ref="B10:F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PERALATAN</vt:lpstr>
      <vt:lpstr>BAHAN HABIS PAKAI</vt:lpstr>
      <vt:lpstr>PENYUSUTAN</vt:lpstr>
      <vt:lpstr>BIAYA OPERASIONAL</vt:lpstr>
      <vt:lpstr>TOTAL INVESTASI</vt:lpstr>
      <vt:lpstr>HPP</vt:lpstr>
      <vt:lpstr>BEP</vt:lpstr>
      <vt:lpstr>cash flow</vt:lpstr>
      <vt:lpstr>laporan laba rvgi</vt:lpstr>
      <vt:lpstr>stvdi kelayakan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ADMIN</cp:lastModifiedBy>
  <dcterms:created xsi:type="dcterms:W3CDTF">2019-05-20T04:23:36Z</dcterms:created>
  <dcterms:modified xsi:type="dcterms:W3CDTF">2025-10-30T03:07:50Z</dcterms:modified>
</cp:coreProperties>
</file>