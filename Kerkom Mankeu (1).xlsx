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latan" sheetId="1" r:id="rId4"/>
    <sheet state="visible" name="Bahan Habis Pakai" sheetId="2" r:id="rId5"/>
    <sheet state="visible" name="Penyusutan " sheetId="3" r:id="rId6"/>
    <sheet state="visible" name="Biaya Operasional" sheetId="4" r:id="rId7"/>
    <sheet state="visible" name="Total Investasi" sheetId="5" r:id="rId8"/>
    <sheet state="visible" name="HPP" sheetId="6" r:id="rId9"/>
    <sheet state="visible" name="BEP" sheetId="7" r:id="rId10"/>
    <sheet state="visible" name="Cashflow" sheetId="8" r:id="rId11"/>
    <sheet state="visible" name="Laporan Laba Rugi" sheetId="9" r:id="rId12"/>
    <sheet state="visible" name="Studi Kelayakan" sheetId="10" r:id="rId13"/>
  </sheets>
  <definedNames/>
  <calcPr/>
</workbook>
</file>

<file path=xl/sharedStrings.xml><?xml version="1.0" encoding="utf-8"?>
<sst xmlns="http://schemas.openxmlformats.org/spreadsheetml/2006/main" count="625" uniqueCount="253">
  <si>
    <t>NO</t>
  </si>
  <si>
    <t>PEMBELIAN PERALATAN</t>
  </si>
  <si>
    <t>KETERANGAN</t>
  </si>
  <si>
    <t>KUANTITAS</t>
  </si>
  <si>
    <t>SATUAN</t>
  </si>
  <si>
    <t>HARGA</t>
  </si>
  <si>
    <t>JUMLAH</t>
  </si>
  <si>
    <t>HARGA (Rp)</t>
  </si>
  <si>
    <t>JUMLAH (Rp)</t>
  </si>
  <si>
    <t>Meja kerja stainless kecil</t>
  </si>
  <si>
    <t>Area persiapan makanan</t>
  </si>
  <si>
    <t>buah</t>
  </si>
  <si>
    <t>1.000.000</t>
  </si>
  <si>
    <t>Kursi plastik tebal</t>
  </si>
  <si>
    <t>Untuk staf dapur</t>
  </si>
  <si>
    <t>Kompor gas 2 tungku</t>
  </si>
  <si>
    <t>Untuk memasak utama</t>
  </si>
  <si>
    <t>unit</t>
  </si>
  <si>
    <t>Tabung gas + regulator</t>
  </si>
  <si>
    <t>Kebutuhan kompor</t>
  </si>
  <si>
    <t>set</t>
  </si>
  <si>
    <t>Oven listrik sedang</t>
  </si>
  <si>
    <t>Untuk menu panggang sehat</t>
  </si>
  <si>
    <t>1.800.000</t>
  </si>
  <si>
    <t>Kulkas 1 pintu</t>
  </si>
  <si>
    <t>Penyimpanan bahan makanan</t>
  </si>
  <si>
    <t>2.000.000</t>
  </si>
  <si>
    <t>Blender heavy duty</t>
  </si>
  <si>
    <t>Untuk jus &amp; bumbu</t>
  </si>
  <si>
    <t>1.150.000</t>
  </si>
  <si>
    <t>Timbangan digital</t>
  </si>
  <si>
    <t>Penakaran bahan</t>
  </si>
  <si>
    <t>Wadah plastik food grade</t>
  </si>
  <si>
    <t>Tempat bahan dan olahan</t>
  </si>
  <si>
    <t>Rice cooker besar</t>
  </si>
  <si>
    <t>Untuk nasi atau olahan karbo</t>
  </si>
  <si>
    <t>Food sealer portable</t>
  </si>
  <si>
    <t>Untuk pengemasan makanan sehat</t>
  </si>
  <si>
    <t>Lemari bahan plastik</t>
  </si>
  <si>
    <t>Penyimpanan bahan kering</t>
  </si>
  <si>
    <t>Tempat sampah organik &amp; anorganik</t>
  </si>
  <si>
    <t>Pemilahan limbah dapur</t>
  </si>
  <si>
    <t>Laptop kerja</t>
  </si>
  <si>
    <t>Untuk administrasi &amp; pemasaran digital</t>
  </si>
  <si>
    <t>4.500.000</t>
  </si>
  <si>
    <t>Printer</t>
  </si>
  <si>
    <t>Cetak label &amp; nota</t>
  </si>
  <si>
    <t>Ring light / lampu foto produk</t>
  </si>
  <si>
    <t>Untuk konten media sosial produk</t>
  </si>
  <si>
    <t>Peralatan saji &amp; penyajian (detail)</t>
  </si>
  <si>
    <t>Piring saji, mangkuk, sendok/garpu, nampan tray etc.</t>
  </si>
  <si>
    <t>Seragam dapur</t>
  </si>
  <si>
    <t>Untuk 2 orang staf</t>
  </si>
  <si>
    <t>Alat kebersihan dapur</t>
  </si>
  <si>
    <t>Sapu, pel, cairan pembersih</t>
  </si>
  <si>
    <t>paket</t>
  </si>
  <si>
    <t>Dekorasi branding sederhana</t>
  </si>
  <si>
    <t>Stiker logo, cat, signage</t>
  </si>
  <si>
    <t xml:space="preserve">Total </t>
  </si>
  <si>
    <t>Rp. 18.750.000</t>
  </si>
  <si>
    <t>BAHAN HABIS PAKAI</t>
  </si>
  <si>
    <t>JUMLAH/BULAN</t>
  </si>
  <si>
    <t>Beras organik</t>
  </si>
  <si>
    <t>Sumber karbo utama (nasi sehat)</t>
  </si>
  <si>
    <t>kg</t>
  </si>
  <si>
    <t>Oat / rolled oats</t>
  </si>
  <si>
    <t>Menu sarapan sehat</t>
  </si>
  <si>
    <t>Dada ayam tanpa kulit</t>
  </si>
  <si>
    <t>Protein utama</t>
  </si>
  <si>
    <t>1.200.000</t>
  </si>
  <si>
    <t>Ikan fillet (dori/salmon campur)</t>
  </si>
  <si>
    <t>Protein variasi</t>
  </si>
  <si>
    <t>Tahu &amp; tempe</t>
  </si>
  <si>
    <t>Protein nabati</t>
  </si>
  <si>
    <t>pak</t>
  </si>
  <si>
    <t>Telur ayam</t>
  </si>
  <si>
    <t>Menu variasi &amp; tambahan protein</t>
  </si>
  <si>
    <t>rak (30 butir)</t>
  </si>
  <si>
    <t>Sayuran segar campur</t>
  </si>
  <si>
    <t>Brokoli, wortel, buncis, dll</t>
  </si>
  <si>
    <t>Buah segar</t>
  </si>
  <si>
    <t>Apel, pisang, pepaya, semangka, dll</t>
  </si>
  <si>
    <t>Kentang / ubi rebus</t>
  </si>
  <si>
    <t>Alternatif karbohidrat</t>
  </si>
  <si>
    <t>Minyak zaitun</t>
  </si>
  <si>
    <t>Minyak sehat untuk memasak</t>
  </si>
  <si>
    <t>liter</t>
  </si>
  <si>
    <t>Bumbu dasar dapur</t>
  </si>
  <si>
    <t>Bawang, cabai, garam, lada, dll</t>
  </si>
  <si>
    <t>Saus sehat &amp; rempah</t>
  </si>
  <si>
    <t>Kecap low sodium, herbs, madu, dll</t>
  </si>
  <si>
    <t>Air mineral galon</t>
  </si>
  <si>
    <t>Untuk memasak &amp; kebersihan</t>
  </si>
  <si>
    <t>galon</t>
  </si>
  <si>
    <t>Sarung tangan plastik (disposable)</t>
  </si>
  <si>
    <t>Untuk kebersihan saat produksi</t>
  </si>
  <si>
    <t>kotak (100 pcs)</t>
  </si>
  <si>
    <t>Masker medis</t>
  </si>
  <si>
    <t>box (50 pcs)</t>
  </si>
  <si>
    <t>Plastik vacuum / food sealer</t>
  </si>
  <si>
    <t>Pengemasan makanan sehat</t>
  </si>
  <si>
    <t>pak (50 lembar)</t>
  </si>
  <si>
    <t>Box makanan ramah lingkungan</t>
  </si>
  <si>
    <t>Kemasan utama catering</t>
  </si>
  <si>
    <t>pcs</t>
  </si>
  <si>
    <t>Sendok &amp; garpu sekali pakai</t>
  </si>
  <si>
    <t>Disertakan dalam pesanan</t>
  </si>
  <si>
    <t>Stiker label produk</t>
  </si>
  <si>
    <t>Branding &amp; tanggal kadaluarsa</t>
  </si>
  <si>
    <t>lembar</t>
  </si>
  <si>
    <t>Paper bag / kantong kertas</t>
  </si>
  <si>
    <t>Untuk pengantaran makanan</t>
  </si>
  <si>
    <t>Tisu makan</t>
  </si>
  <si>
    <t>Pelengkap pelanggan</t>
  </si>
  <si>
    <t>Cairan pembersih dapur</t>
  </si>
  <si>
    <t>Sanitasi area dapur</t>
  </si>
  <si>
    <t>botol</t>
  </si>
  <si>
    <t>Sabun cuci piring</t>
  </si>
  <si>
    <t>Membersihkan peralatan</t>
  </si>
  <si>
    <t>Spons cuci piring</t>
  </si>
  <si>
    <t>Ganti rutin</t>
  </si>
  <si>
    <t>Tisu dapur gulung</t>
  </si>
  <si>
    <t>Pembersihan minyak &amp; noda</t>
  </si>
  <si>
    <t>roll</t>
  </si>
  <si>
    <t>Aluminium foil</t>
  </si>
  <si>
    <t>Pembungkus makanan tertentu</t>
  </si>
  <si>
    <t>Gas LPG</t>
  </si>
  <si>
    <t>Bahan bakar kompor</t>
  </si>
  <si>
    <t>tabung</t>
  </si>
  <si>
    <t>TOTAL</t>
  </si>
  <si>
    <t>Rp 7.935.000</t>
  </si>
  <si>
    <t>KAPASITAS PRODUKSI PERBULAN</t>
  </si>
  <si>
    <t>NAMA PERALATAN</t>
  </si>
  <si>
    <t>NILAI</t>
  </si>
  <si>
    <t>NILAI RESIDU</t>
  </si>
  <si>
    <t>UMUR EKONOMIS</t>
  </si>
  <si>
    <t>PENYUSUTAN PERTAHUN</t>
  </si>
  <si>
    <t>PENYUSUTAN PERBULAN</t>
  </si>
  <si>
    <t>PENYUSUTAN PERUNIT</t>
  </si>
  <si>
    <t>Kursi plastik tebal (3 buah)</t>
  </si>
  <si>
    <t>Wadah plastik food grade (10 buah)</t>
  </si>
  <si>
    <t>Tempat sampah organik &amp; anorganik (2 buah)</t>
  </si>
  <si>
    <t>1.350.000</t>
  </si>
  <si>
    <t>Peralatan saji &amp; penyajian (set)</t>
  </si>
  <si>
    <t>Seragam dapur (2 set)</t>
  </si>
  <si>
    <t>Alat kebersihan dapur (paket)</t>
  </si>
  <si>
    <t>18.750.000</t>
  </si>
  <si>
    <t>OPERASIONAL</t>
  </si>
  <si>
    <t>BIAYA OPERASIONAL PRODUKSI</t>
  </si>
  <si>
    <t>Biaya Bahan Baku / Habis Pakai</t>
  </si>
  <si>
    <t>Sesuai rincian Bahan Habis Pakai</t>
  </si>
  <si>
    <t>Rp 8.046.630</t>
  </si>
  <si>
    <t>Rp -</t>
  </si>
  <si>
    <t>BIAYA OPERASIONAL PEMASARAN</t>
  </si>
  <si>
    <t>BIAYA LAIN-LAIN</t>
  </si>
  <si>
    <t>PERLENGKAPAN YAG DIPERLUKAN</t>
  </si>
  <si>
    <t>Rp</t>
  </si>
  <si>
    <t>LAIN-LAIN</t>
  </si>
  <si>
    <t>JUMLAH (TOTAL INVESTASI)</t>
  </si>
  <si>
    <t>PENENTUAN HARGA/PCS</t>
  </si>
  <si>
    <t>OPERASIONAL PRODUKSI</t>
  </si>
  <si>
    <t>HPP</t>
  </si>
  <si>
    <t>OPERASIONAL PEMASARAN</t>
  </si>
  <si>
    <t>HARGA OPERASIONAL</t>
  </si>
  <si>
    <t>BEBAN DEPRESIASI(PENYUSUTAN)</t>
  </si>
  <si>
    <t>HARGA SEBELUM LABA</t>
  </si>
  <si>
    <t>LABA</t>
  </si>
  <si>
    <t>HARGA JUAL</t>
  </si>
  <si>
    <t>PEMBULATAN HARGA JUAL</t>
  </si>
  <si>
    <t>BEP PERBULAN</t>
  </si>
  <si>
    <t>PERBULAN</t>
  </si>
  <si>
    <t>TOTAL FIX COST (A)</t>
  </si>
  <si>
    <t>PENYUSUTAN</t>
  </si>
  <si>
    <t>Rp 1.828.125</t>
  </si>
  <si>
    <t>VARIABLE COST (B)</t>
  </si>
  <si>
    <t>BIAYA BAHAN BAKU</t>
  </si>
  <si>
    <t>Rp 80.466</t>
  </si>
  <si>
    <t>OPERASIONAL (PRODUKSI)</t>
  </si>
  <si>
    <t>OPERASIONAL (PEMASARAN)</t>
  </si>
  <si>
    <t>OPERASIONAL LAIN-LAIN</t>
  </si>
  <si>
    <t>TOTAL VARIABEL COST</t>
  </si>
  <si>
    <t>PEMBULATAN HARGA JUAL (C)</t>
  </si>
  <si>
    <t>Rp 140.000</t>
  </si>
  <si>
    <t>(C-B)</t>
  </si>
  <si>
    <t>Rp 59.534</t>
  </si>
  <si>
    <t>BEP UNIT (A/C-B)</t>
  </si>
  <si>
    <t>BULAN KE</t>
  </si>
  <si>
    <t>RENCANA PRODUKSI</t>
  </si>
  <si>
    <t>CASH FLOW</t>
  </si>
  <si>
    <t>KAS TERSEDIA AWAL BULAN</t>
  </si>
  <si>
    <t>Rp 56.796.630</t>
  </si>
  <si>
    <t>CASH OUT FLOW</t>
  </si>
  <si>
    <t>PERLENGKAPAN YANG DIPERLUKAN</t>
  </si>
  <si>
    <t>Rp 48.750.000</t>
  </si>
  <si>
    <t>PERJALANAN PRODUKSI</t>
  </si>
  <si>
    <t>PERJALANAN PEMASARAN</t>
  </si>
  <si>
    <t>SISA KAS</t>
  </si>
  <si>
    <t>CASH IN FLOW</t>
  </si>
  <si>
    <t>HASIL PENJUALAN</t>
  </si>
  <si>
    <t>KAS TERSEDIA (AKHIR BULAN)</t>
  </si>
  <si>
    <t>BULAN</t>
  </si>
  <si>
    <t>HASIL PENJUALAN (A)</t>
  </si>
  <si>
    <t>HPP (B)</t>
  </si>
  <si>
    <t>LABA KOTOR (C)= (A-B)</t>
  </si>
  <si>
    <t>PEMASARAN (D)</t>
  </si>
  <si>
    <t>LABA OPERASIONAL (E)=(C-D)</t>
  </si>
  <si>
    <t>DEPRESIASI (F)</t>
  </si>
  <si>
    <t>Rp 225.000</t>
  </si>
  <si>
    <t>LABA BERSIH (H)=(E-F)</t>
  </si>
  <si>
    <t>-Rp 225.000</t>
  </si>
  <si>
    <t>PERTUMBUHAN KEUNTUNGAN</t>
  </si>
  <si>
    <t>-Rp 450.000</t>
  </si>
  <si>
    <t>-Rp 675.000</t>
  </si>
  <si>
    <t>-Rp 900.000</t>
  </si>
  <si>
    <t>-Rp 1.125.000</t>
  </si>
  <si>
    <t>-Rp 1.350.000</t>
  </si>
  <si>
    <t>-Rp 1.575.000</t>
  </si>
  <si>
    <t>-Rp 1.800.000</t>
  </si>
  <si>
    <t>-Rp 2.025.000</t>
  </si>
  <si>
    <t>-Rp 2.250.000</t>
  </si>
  <si>
    <t>-Rp 2.475.000</t>
  </si>
  <si>
    <t>-Rp 2.700.000</t>
  </si>
  <si>
    <t>Tahun</t>
  </si>
  <si>
    <t>Keuntungan Bersih</t>
  </si>
  <si>
    <t>Penyusutan</t>
  </si>
  <si>
    <t>Total Kas Masuk</t>
  </si>
  <si>
    <t>df +</t>
  </si>
  <si>
    <t>Present Value</t>
  </si>
  <si>
    <t>df -</t>
  </si>
  <si>
    <t>0,1</t>
  </si>
  <si>
    <t>0,8</t>
  </si>
  <si>
    <t>Rp 500.000</t>
  </si>
  <si>
    <t>-Rp 2.200.000</t>
  </si>
  <si>
    <t>-Rp 2.000.000</t>
  </si>
  <si>
    <t>-Rp 1.222.222</t>
  </si>
  <si>
    <t>PRESENT VALUE SISA KAS BERSIH AKHIR PERIODE</t>
  </si>
  <si>
    <t>Rp 9.769.664</t>
  </si>
  <si>
    <t>Rp 5.970.350</t>
  </si>
  <si>
    <t>JUMLAH PRESENT VALUE</t>
  </si>
  <si>
    <t>Rp 7.769.664</t>
  </si>
  <si>
    <t>Rp 4.748.128</t>
  </si>
  <si>
    <t>INVESTASI AWAL</t>
  </si>
  <si>
    <t>NPV</t>
  </si>
  <si>
    <t>-Rp 49.026.966</t>
  </si>
  <si>
    <t>-Rp 52.048.502</t>
  </si>
  <si>
    <t>IRR</t>
  </si>
  <si>
    <t>R/C RATIO TAHUN 1</t>
  </si>
  <si>
    <t>COST</t>
  </si>
  <si>
    <t>R/C</t>
  </si>
  <si>
    <t>PAY BACK PERIOD</t>
  </si>
  <si>
    <t>Bulan ke-12</t>
  </si>
  <si>
    <t>TOTAL KAS MASUK</t>
  </si>
  <si>
    <t>PERTUMBUHAN KAS MASUK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</si>
</sst>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1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/>
    <font>
      <sz val="11.0"/>
      <color rgb="FF000000"/>
      <name val="Calibri"/>
    </font>
    <font>
      <b/>
      <sz val="11.0"/>
      <color rgb="FF000000"/>
      <name val="Calibri"/>
    </font>
    <font>
      <sz val="12.0"/>
      <color rgb="FF000000"/>
      <name val="&quot;Times New Roman&quot;"/>
    </font>
    <font>
      <sz val="7.0"/>
      <color rgb="FF000000"/>
      <name val="&quot;Times New Roman&quot;"/>
    </font>
    <font>
      <sz val="8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9BBB59"/>
        <bgColor rgb="FF9BBB59"/>
      </patternFill>
    </fill>
    <fill>
      <patternFill patternType="solid">
        <fgColor rgb="FF00B0F0"/>
        <bgColor rgb="FF00B0F0"/>
      </patternFill>
    </fill>
    <fill>
      <patternFill patternType="solid">
        <fgColor rgb="FF1FBFA1"/>
        <bgColor rgb="FF1FBFA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1"/>
    </xf>
    <xf borderId="1" fillId="0" fontId="3" numFmtId="4" xfId="0" applyAlignment="1" applyBorder="1" applyFont="1" applyNumberFormat="1">
      <alignment horizontal="left" readingOrder="0"/>
    </xf>
    <xf borderId="2" fillId="2" fontId="1" numFmtId="0" xfId="0" applyAlignment="1" applyBorder="1" applyFont="1">
      <alignment horizontal="center" readingOrder="0" vertical="top"/>
    </xf>
    <xf borderId="3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2" fontId="1" numFmtId="0" xfId="0" applyAlignment="1" applyBorder="1" applyFont="1">
      <alignment horizontal="left" readingOrder="0" vertical="top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6" numFmtId="0" xfId="0" applyAlignment="1" applyBorder="1" applyFont="1">
      <alignment readingOrder="0"/>
    </xf>
    <xf borderId="1" fillId="0" fontId="3" numFmtId="4" xfId="0" applyAlignment="1" applyBorder="1" applyFont="1" applyNumberFormat="1">
      <alignment horizontal="left" readingOrder="0" vertical="center"/>
    </xf>
    <xf borderId="2" fillId="3" fontId="7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ont="1">
      <alignment horizontal="right" readingOrder="0" shrinkToFit="0" vertical="bottom" wrapText="0"/>
    </xf>
    <xf borderId="1" fillId="3" fontId="7" numFmtId="4" xfId="0" applyAlignment="1" applyBorder="1" applyFont="1" applyNumberFormat="1">
      <alignment horizontal="right" readingOrder="0" shrinkToFit="0" vertical="bottom" wrapText="0"/>
    </xf>
    <xf borderId="0" fillId="4" fontId="4" numFmtId="0" xfId="0" applyAlignment="1" applyFill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right" readingOrder="0"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horizontal="center" shrinkToFit="0" vertical="bottom" wrapText="0"/>
    </xf>
    <xf borderId="1" fillId="7" fontId="10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2" fontId="10" numFmtId="0" xfId="0" applyAlignment="1" applyBorder="1" applyFont="1">
      <alignment readingOrder="0" vertical="bottom"/>
    </xf>
    <xf borderId="3" fillId="2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1" fillId="0" fontId="4" numFmtId="3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1" fillId="2" fontId="4" numFmtId="3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1.75"/>
    <col customWidth="1" min="7" max="7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</v>
      </c>
      <c r="G2" s="2" t="s">
        <v>8</v>
      </c>
    </row>
    <row r="3">
      <c r="A3" s="3">
        <v>1.0</v>
      </c>
      <c r="B3" s="3" t="s">
        <v>9</v>
      </c>
      <c r="C3" s="4" t="s">
        <v>10</v>
      </c>
      <c r="D3" s="3">
        <v>1.0</v>
      </c>
      <c r="E3" s="3" t="s">
        <v>11</v>
      </c>
      <c r="F3" s="5" t="s">
        <v>12</v>
      </c>
      <c r="G3" s="5" t="s">
        <v>12</v>
      </c>
    </row>
    <row r="4">
      <c r="A4" s="3">
        <v>2.0</v>
      </c>
      <c r="B4" s="3" t="s">
        <v>13</v>
      </c>
      <c r="C4" s="4" t="s">
        <v>14</v>
      </c>
      <c r="D4" s="3">
        <v>3.0</v>
      </c>
      <c r="E4" s="3" t="s">
        <v>11</v>
      </c>
      <c r="F4" s="5">
        <v>150.0</v>
      </c>
      <c r="G4" s="5">
        <v>450.0</v>
      </c>
    </row>
    <row r="5">
      <c r="A5" s="3">
        <v>3.0</v>
      </c>
      <c r="B5" s="3" t="s">
        <v>15</v>
      </c>
      <c r="C5" s="4" t="s">
        <v>16</v>
      </c>
      <c r="D5" s="3">
        <v>1.0</v>
      </c>
      <c r="E5" s="3" t="s">
        <v>17</v>
      </c>
      <c r="F5" s="5">
        <v>600.0</v>
      </c>
      <c r="G5" s="5">
        <v>600.0</v>
      </c>
    </row>
    <row r="6">
      <c r="A6" s="3">
        <v>4.0</v>
      </c>
      <c r="B6" s="3" t="s">
        <v>18</v>
      </c>
      <c r="C6" s="4" t="s">
        <v>19</v>
      </c>
      <c r="D6" s="3">
        <v>1.0</v>
      </c>
      <c r="E6" s="3" t="s">
        <v>20</v>
      </c>
      <c r="F6" s="5">
        <v>450.0</v>
      </c>
      <c r="G6" s="5">
        <v>450.0</v>
      </c>
    </row>
    <row r="7">
      <c r="A7" s="3">
        <v>5.0</v>
      </c>
      <c r="B7" s="3" t="s">
        <v>21</v>
      </c>
      <c r="C7" s="4" t="s">
        <v>22</v>
      </c>
      <c r="D7" s="3">
        <v>1.0</v>
      </c>
      <c r="E7" s="3" t="s">
        <v>17</v>
      </c>
      <c r="F7" s="5" t="s">
        <v>23</v>
      </c>
      <c r="G7" s="5" t="s">
        <v>23</v>
      </c>
    </row>
    <row r="8">
      <c r="A8" s="3">
        <v>6.0</v>
      </c>
      <c r="B8" s="3" t="s">
        <v>24</v>
      </c>
      <c r="C8" s="4" t="s">
        <v>25</v>
      </c>
      <c r="D8" s="3">
        <v>1.0</v>
      </c>
      <c r="E8" s="3" t="s">
        <v>17</v>
      </c>
      <c r="F8" s="5" t="s">
        <v>26</v>
      </c>
      <c r="G8" s="5" t="s">
        <v>26</v>
      </c>
    </row>
    <row r="9">
      <c r="A9" s="3">
        <v>7.0</v>
      </c>
      <c r="B9" s="3" t="s">
        <v>27</v>
      </c>
      <c r="C9" s="4" t="s">
        <v>28</v>
      </c>
      <c r="D9" s="3">
        <v>1.0</v>
      </c>
      <c r="E9" s="3" t="s">
        <v>17</v>
      </c>
      <c r="F9" s="5" t="s">
        <v>29</v>
      </c>
      <c r="G9" s="5" t="s">
        <v>29</v>
      </c>
    </row>
    <row r="10">
      <c r="A10" s="3">
        <v>8.0</v>
      </c>
      <c r="B10" s="3" t="s">
        <v>30</v>
      </c>
      <c r="C10" s="4" t="s">
        <v>31</v>
      </c>
      <c r="D10" s="3">
        <v>1.0</v>
      </c>
      <c r="E10" s="3" t="s">
        <v>11</v>
      </c>
      <c r="F10" s="5">
        <v>120.0</v>
      </c>
      <c r="G10" s="5">
        <v>120.0</v>
      </c>
    </row>
    <row r="11">
      <c r="A11" s="3">
        <v>9.0</v>
      </c>
      <c r="B11" s="3" t="s">
        <v>32</v>
      </c>
      <c r="C11" s="4" t="s">
        <v>33</v>
      </c>
      <c r="D11" s="3">
        <v>10.0</v>
      </c>
      <c r="E11" s="3" t="s">
        <v>11</v>
      </c>
      <c r="F11" s="5">
        <v>50.0</v>
      </c>
      <c r="G11" s="5">
        <v>500.0</v>
      </c>
    </row>
    <row r="12">
      <c r="A12" s="3">
        <v>10.0</v>
      </c>
      <c r="B12" s="3" t="s">
        <v>34</v>
      </c>
      <c r="C12" s="4" t="s">
        <v>35</v>
      </c>
      <c r="D12" s="3">
        <v>1.0</v>
      </c>
      <c r="E12" s="3" t="s">
        <v>17</v>
      </c>
      <c r="F12" s="5">
        <v>700.0</v>
      </c>
      <c r="G12" s="5">
        <v>700.0</v>
      </c>
    </row>
    <row r="13">
      <c r="A13" s="3">
        <v>11.0</v>
      </c>
      <c r="B13" s="3" t="s">
        <v>36</v>
      </c>
      <c r="C13" s="4" t="s">
        <v>37</v>
      </c>
      <c r="D13" s="3">
        <v>1.0</v>
      </c>
      <c r="E13" s="3" t="s">
        <v>17</v>
      </c>
      <c r="F13" s="5">
        <v>350.0</v>
      </c>
      <c r="G13" s="5">
        <v>350.0</v>
      </c>
    </row>
    <row r="14">
      <c r="A14" s="3">
        <v>12.0</v>
      </c>
      <c r="B14" s="3" t="s">
        <v>38</v>
      </c>
      <c r="C14" s="4" t="s">
        <v>39</v>
      </c>
      <c r="D14" s="3">
        <v>1.0</v>
      </c>
      <c r="E14" s="3" t="s">
        <v>11</v>
      </c>
      <c r="F14" s="5">
        <v>800.0</v>
      </c>
      <c r="G14" s="5">
        <v>800.0</v>
      </c>
    </row>
    <row r="15">
      <c r="A15" s="3">
        <v>13.0</v>
      </c>
      <c r="B15" s="3" t="s">
        <v>40</v>
      </c>
      <c r="C15" s="4" t="s">
        <v>41</v>
      </c>
      <c r="D15" s="3">
        <v>2.0</v>
      </c>
      <c r="E15" s="3" t="s">
        <v>11</v>
      </c>
      <c r="F15" s="5">
        <v>100.0</v>
      </c>
      <c r="G15" s="5">
        <v>200.0</v>
      </c>
    </row>
    <row r="16">
      <c r="A16" s="3">
        <v>14.0</v>
      </c>
      <c r="B16" s="3" t="s">
        <v>42</v>
      </c>
      <c r="C16" s="4" t="s">
        <v>43</v>
      </c>
      <c r="D16" s="3">
        <v>1.0</v>
      </c>
      <c r="E16" s="3" t="s">
        <v>17</v>
      </c>
      <c r="F16" s="5" t="s">
        <v>44</v>
      </c>
      <c r="G16" s="5" t="s">
        <v>44</v>
      </c>
    </row>
    <row r="17">
      <c r="A17" s="3">
        <v>15.0</v>
      </c>
      <c r="B17" s="3" t="s">
        <v>45</v>
      </c>
      <c r="C17" s="4" t="s">
        <v>46</v>
      </c>
      <c r="D17" s="3">
        <v>1.0</v>
      </c>
      <c r="E17" s="3" t="s">
        <v>11</v>
      </c>
      <c r="F17" s="5">
        <v>900.0</v>
      </c>
      <c r="G17" s="5">
        <v>900.0</v>
      </c>
    </row>
    <row r="18">
      <c r="A18" s="3">
        <v>16.0</v>
      </c>
      <c r="B18" s="3" t="s">
        <v>47</v>
      </c>
      <c r="C18" s="4" t="s">
        <v>48</v>
      </c>
      <c r="D18" s="3">
        <v>1.0</v>
      </c>
      <c r="E18" s="3" t="s">
        <v>20</v>
      </c>
      <c r="F18" s="5">
        <v>250.0</v>
      </c>
      <c r="G18" s="5">
        <v>250.0</v>
      </c>
    </row>
    <row r="19">
      <c r="A19" s="3">
        <v>17.0</v>
      </c>
      <c r="B19" s="3" t="s">
        <v>49</v>
      </c>
      <c r="C19" s="4" t="s">
        <v>50</v>
      </c>
      <c r="D19" s="3">
        <v>1.0</v>
      </c>
      <c r="E19" s="3" t="s">
        <v>20</v>
      </c>
      <c r="F19" s="5">
        <v>800.0</v>
      </c>
      <c r="G19" s="5">
        <v>800.0</v>
      </c>
    </row>
    <row r="20">
      <c r="A20" s="3">
        <v>18.0</v>
      </c>
      <c r="B20" s="3" t="s">
        <v>51</v>
      </c>
      <c r="C20" s="4" t="s">
        <v>52</v>
      </c>
      <c r="D20" s="3">
        <v>2.0</v>
      </c>
      <c r="E20" s="3" t="s">
        <v>20</v>
      </c>
      <c r="F20" s="5">
        <v>250.0</v>
      </c>
      <c r="G20" s="5">
        <v>500.0</v>
      </c>
    </row>
    <row r="21">
      <c r="A21" s="3">
        <v>19.0</v>
      </c>
      <c r="B21" s="3" t="s">
        <v>53</v>
      </c>
      <c r="C21" s="4" t="s">
        <v>54</v>
      </c>
      <c r="D21" s="3">
        <v>1.0</v>
      </c>
      <c r="E21" s="3" t="s">
        <v>55</v>
      </c>
      <c r="F21" s="5">
        <v>300.0</v>
      </c>
      <c r="G21" s="5">
        <v>300.0</v>
      </c>
    </row>
    <row r="22">
      <c r="A22" s="3">
        <v>20.0</v>
      </c>
      <c r="B22" s="3" t="s">
        <v>56</v>
      </c>
      <c r="C22" s="4" t="s">
        <v>57</v>
      </c>
      <c r="D22" s="3">
        <v>1.0</v>
      </c>
      <c r="E22" s="3" t="s">
        <v>55</v>
      </c>
      <c r="F22" s="5" t="s">
        <v>12</v>
      </c>
      <c r="G22" s="5" t="s">
        <v>12</v>
      </c>
    </row>
    <row r="23">
      <c r="F23" s="6" t="s">
        <v>58</v>
      </c>
      <c r="G23" s="7" t="s">
        <v>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22.0"/>
    <col customWidth="1" min="7" max="7" width="17.88"/>
  </cols>
  <sheetData>
    <row r="1">
      <c r="A1" s="8" t="s">
        <v>0</v>
      </c>
      <c r="B1" s="8" t="s">
        <v>60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61</v>
      </c>
    </row>
    <row r="2">
      <c r="A2" s="9">
        <v>1.0</v>
      </c>
      <c r="B2" s="9" t="s">
        <v>62</v>
      </c>
      <c r="C2" s="10" t="s">
        <v>63</v>
      </c>
      <c r="D2" s="9">
        <v>25.0</v>
      </c>
      <c r="E2" s="9" t="s">
        <v>64</v>
      </c>
      <c r="F2" s="11">
        <v>20.0</v>
      </c>
      <c r="G2" s="11">
        <v>500.0</v>
      </c>
    </row>
    <row r="3">
      <c r="A3" s="9">
        <v>2.0</v>
      </c>
      <c r="B3" s="9" t="s">
        <v>65</v>
      </c>
      <c r="C3" s="10" t="s">
        <v>66</v>
      </c>
      <c r="D3" s="9">
        <v>5.0</v>
      </c>
      <c r="E3" s="9" t="s">
        <v>64</v>
      </c>
      <c r="F3" s="11">
        <v>50.0</v>
      </c>
      <c r="G3" s="11">
        <v>250.0</v>
      </c>
    </row>
    <row r="4">
      <c r="A4" s="9">
        <v>3.0</v>
      </c>
      <c r="B4" s="9" t="s">
        <v>67</v>
      </c>
      <c r="C4" s="10" t="s">
        <v>68</v>
      </c>
      <c r="D4" s="9">
        <v>20.0</v>
      </c>
      <c r="E4" s="9" t="s">
        <v>64</v>
      </c>
      <c r="F4" s="11">
        <v>60.0</v>
      </c>
      <c r="G4" s="11" t="s">
        <v>69</v>
      </c>
    </row>
    <row r="5">
      <c r="A5" s="9">
        <v>4.0</v>
      </c>
      <c r="B5" s="9" t="s">
        <v>70</v>
      </c>
      <c r="C5" s="10" t="s">
        <v>71</v>
      </c>
      <c r="D5" s="9">
        <v>10.0</v>
      </c>
      <c r="E5" s="9" t="s">
        <v>64</v>
      </c>
      <c r="F5" s="11">
        <v>75.0</v>
      </c>
      <c r="G5" s="11">
        <v>750.0</v>
      </c>
    </row>
    <row r="6">
      <c r="A6" s="9">
        <v>5.0</v>
      </c>
      <c r="B6" s="9" t="s">
        <v>72</v>
      </c>
      <c r="C6" s="10" t="s">
        <v>73</v>
      </c>
      <c r="D6" s="9">
        <v>20.0</v>
      </c>
      <c r="E6" s="9" t="s">
        <v>74</v>
      </c>
      <c r="F6" s="11">
        <v>5.0</v>
      </c>
      <c r="G6" s="11">
        <v>100.0</v>
      </c>
    </row>
    <row r="7">
      <c r="A7" s="9">
        <v>6.0</v>
      </c>
      <c r="B7" s="9" t="s">
        <v>75</v>
      </c>
      <c r="C7" s="10" t="s">
        <v>76</v>
      </c>
      <c r="D7" s="9">
        <v>5.0</v>
      </c>
      <c r="E7" s="9" t="s">
        <v>77</v>
      </c>
      <c r="F7" s="11">
        <v>60.0</v>
      </c>
      <c r="G7" s="11">
        <v>300.0</v>
      </c>
    </row>
    <row r="8">
      <c r="A8" s="9">
        <v>7.0</v>
      </c>
      <c r="B8" s="9" t="s">
        <v>78</v>
      </c>
      <c r="C8" s="10" t="s">
        <v>79</v>
      </c>
      <c r="D8" s="9">
        <v>40.0</v>
      </c>
      <c r="E8" s="9" t="s">
        <v>64</v>
      </c>
      <c r="F8" s="11">
        <v>15.0</v>
      </c>
      <c r="G8" s="11">
        <v>600.0</v>
      </c>
    </row>
    <row r="9">
      <c r="A9" s="9">
        <v>8.0</v>
      </c>
      <c r="B9" s="9" t="s">
        <v>80</v>
      </c>
      <c r="C9" s="10" t="s">
        <v>81</v>
      </c>
      <c r="D9" s="9">
        <v>25.0</v>
      </c>
      <c r="E9" s="9" t="s">
        <v>64</v>
      </c>
      <c r="F9" s="11">
        <v>20.0</v>
      </c>
      <c r="G9" s="11">
        <v>500.0</v>
      </c>
    </row>
    <row r="10">
      <c r="A10" s="9">
        <v>9.0</v>
      </c>
      <c r="B10" s="9" t="s">
        <v>82</v>
      </c>
      <c r="C10" s="10" t="s">
        <v>83</v>
      </c>
      <c r="D10" s="9">
        <v>15.0</v>
      </c>
      <c r="E10" s="9" t="s">
        <v>64</v>
      </c>
      <c r="F10" s="11">
        <v>20.0</v>
      </c>
      <c r="G10" s="11">
        <v>300.0</v>
      </c>
    </row>
    <row r="11">
      <c r="A11" s="9">
        <v>10.0</v>
      </c>
      <c r="B11" s="9" t="s">
        <v>84</v>
      </c>
      <c r="C11" s="10" t="s">
        <v>85</v>
      </c>
      <c r="D11" s="9">
        <v>2.0</v>
      </c>
      <c r="E11" s="9" t="s">
        <v>86</v>
      </c>
      <c r="F11" s="11">
        <v>120.0</v>
      </c>
      <c r="G11" s="11">
        <v>240.0</v>
      </c>
    </row>
    <row r="12">
      <c r="A12" s="9">
        <v>11.0</v>
      </c>
      <c r="B12" s="9" t="s">
        <v>87</v>
      </c>
      <c r="C12" s="10" t="s">
        <v>88</v>
      </c>
      <c r="D12" s="9">
        <v>1.0</v>
      </c>
      <c r="E12" s="9" t="s">
        <v>55</v>
      </c>
      <c r="F12" s="11">
        <v>250.0</v>
      </c>
      <c r="G12" s="11">
        <v>250.0</v>
      </c>
    </row>
    <row r="13">
      <c r="A13" s="9">
        <v>12.0</v>
      </c>
      <c r="B13" s="9" t="s">
        <v>89</v>
      </c>
      <c r="C13" s="10" t="s">
        <v>90</v>
      </c>
      <c r="D13" s="9">
        <v>1.0</v>
      </c>
      <c r="E13" s="9" t="s">
        <v>55</v>
      </c>
      <c r="F13" s="11">
        <v>300.0</v>
      </c>
      <c r="G13" s="11">
        <v>300.0</v>
      </c>
    </row>
    <row r="14">
      <c r="A14" s="9">
        <v>13.0</v>
      </c>
      <c r="B14" s="9" t="s">
        <v>91</v>
      </c>
      <c r="C14" s="10" t="s">
        <v>92</v>
      </c>
      <c r="D14" s="9">
        <v>8.0</v>
      </c>
      <c r="E14" s="9" t="s">
        <v>93</v>
      </c>
      <c r="F14" s="11">
        <v>25.0</v>
      </c>
      <c r="G14" s="11">
        <v>200.0</v>
      </c>
    </row>
    <row r="15">
      <c r="A15" s="9">
        <v>14.0</v>
      </c>
      <c r="B15" s="9" t="s">
        <v>94</v>
      </c>
      <c r="C15" s="10" t="s">
        <v>95</v>
      </c>
      <c r="D15" s="9">
        <v>4.0</v>
      </c>
      <c r="E15" s="9" t="s">
        <v>96</v>
      </c>
      <c r="F15" s="11">
        <v>25.0</v>
      </c>
      <c r="G15" s="11">
        <v>100.0</v>
      </c>
    </row>
    <row r="16">
      <c r="A16" s="9">
        <v>15.0</v>
      </c>
      <c r="B16" s="9" t="s">
        <v>97</v>
      </c>
      <c r="C16" s="10" t="s">
        <v>14</v>
      </c>
      <c r="D16" s="9">
        <v>4.0</v>
      </c>
      <c r="E16" s="9" t="s">
        <v>98</v>
      </c>
      <c r="F16" s="11">
        <v>20.0</v>
      </c>
      <c r="G16" s="11">
        <v>80.0</v>
      </c>
    </row>
    <row r="17">
      <c r="A17" s="9">
        <v>16.0</v>
      </c>
      <c r="B17" s="9" t="s">
        <v>99</v>
      </c>
      <c r="C17" s="10" t="s">
        <v>100</v>
      </c>
      <c r="D17" s="9">
        <v>5.0</v>
      </c>
      <c r="E17" s="9" t="s">
        <v>101</v>
      </c>
      <c r="F17" s="11">
        <v>35.0</v>
      </c>
      <c r="G17" s="11">
        <v>175.0</v>
      </c>
    </row>
    <row r="18">
      <c r="A18" s="9">
        <v>17.0</v>
      </c>
      <c r="B18" s="9" t="s">
        <v>102</v>
      </c>
      <c r="C18" s="10" t="s">
        <v>103</v>
      </c>
      <c r="D18" s="9">
        <v>300.0</v>
      </c>
      <c r="E18" s="9" t="s">
        <v>104</v>
      </c>
      <c r="F18" s="11">
        <v>2.0</v>
      </c>
      <c r="G18" s="11">
        <v>600.0</v>
      </c>
    </row>
    <row r="19">
      <c r="A19" s="9">
        <v>18.0</v>
      </c>
      <c r="B19" s="9" t="s">
        <v>105</v>
      </c>
      <c r="C19" s="10" t="s">
        <v>106</v>
      </c>
      <c r="D19" s="9">
        <v>300.0</v>
      </c>
      <c r="E19" s="9" t="s">
        <v>20</v>
      </c>
      <c r="F19" s="11">
        <v>800.0</v>
      </c>
      <c r="G19" s="11">
        <v>240.0</v>
      </c>
    </row>
    <row r="20">
      <c r="A20" s="9">
        <v>19.0</v>
      </c>
      <c r="B20" s="9" t="s">
        <v>107</v>
      </c>
      <c r="C20" s="10" t="s">
        <v>108</v>
      </c>
      <c r="D20" s="9">
        <v>500.0</v>
      </c>
      <c r="E20" s="9" t="s">
        <v>109</v>
      </c>
      <c r="F20" s="11">
        <v>300.0</v>
      </c>
      <c r="G20" s="11">
        <v>150.0</v>
      </c>
    </row>
    <row r="21">
      <c r="A21" s="9">
        <v>20.0</v>
      </c>
      <c r="B21" s="9" t="s">
        <v>110</v>
      </c>
      <c r="C21" s="10" t="s">
        <v>111</v>
      </c>
      <c r="D21" s="9">
        <v>300.0</v>
      </c>
      <c r="E21" s="9" t="s">
        <v>104</v>
      </c>
      <c r="F21" s="11">
        <v>1.0</v>
      </c>
      <c r="G21" s="11">
        <v>300.0</v>
      </c>
    </row>
    <row r="22">
      <c r="A22" s="9">
        <v>21.0</v>
      </c>
      <c r="B22" s="9" t="s">
        <v>112</v>
      </c>
      <c r="C22" s="10" t="s">
        <v>113</v>
      </c>
      <c r="D22" s="9">
        <v>10.0</v>
      </c>
      <c r="E22" s="9" t="s">
        <v>74</v>
      </c>
      <c r="F22" s="11">
        <v>10.0</v>
      </c>
      <c r="G22" s="11">
        <v>100.0</v>
      </c>
    </row>
    <row r="23">
      <c r="A23" s="9">
        <v>22.0</v>
      </c>
      <c r="B23" s="9" t="s">
        <v>114</v>
      </c>
      <c r="C23" s="10" t="s">
        <v>115</v>
      </c>
      <c r="D23" s="9">
        <v>3.0</v>
      </c>
      <c r="E23" s="9" t="s">
        <v>116</v>
      </c>
      <c r="F23" s="11">
        <v>25.0</v>
      </c>
      <c r="G23" s="11">
        <v>75.0</v>
      </c>
    </row>
    <row r="24">
      <c r="A24" s="9">
        <v>23.0</v>
      </c>
      <c r="B24" s="9" t="s">
        <v>117</v>
      </c>
      <c r="C24" s="10" t="s">
        <v>118</v>
      </c>
      <c r="D24" s="9">
        <v>2.0</v>
      </c>
      <c r="E24" s="9" t="s">
        <v>116</v>
      </c>
      <c r="F24" s="11">
        <v>20.0</v>
      </c>
      <c r="G24" s="11">
        <v>40.0</v>
      </c>
    </row>
    <row r="25">
      <c r="A25" s="9">
        <v>24.0</v>
      </c>
      <c r="B25" s="9" t="s">
        <v>119</v>
      </c>
      <c r="C25" s="10" t="s">
        <v>120</v>
      </c>
      <c r="D25" s="9">
        <v>4.0</v>
      </c>
      <c r="E25" s="9" t="s">
        <v>11</v>
      </c>
      <c r="F25" s="11">
        <v>5.0</v>
      </c>
      <c r="G25" s="11">
        <v>20.0</v>
      </c>
    </row>
    <row r="26">
      <c r="A26" s="9">
        <v>25.0</v>
      </c>
      <c r="B26" s="9" t="s">
        <v>121</v>
      </c>
      <c r="C26" s="10" t="s">
        <v>122</v>
      </c>
      <c r="D26" s="9">
        <v>3.0</v>
      </c>
      <c r="E26" s="9" t="s">
        <v>123</v>
      </c>
      <c r="F26" s="11">
        <v>15.0</v>
      </c>
      <c r="G26" s="11">
        <v>45.0</v>
      </c>
    </row>
    <row r="27">
      <c r="A27" s="9">
        <v>26.0</v>
      </c>
      <c r="B27" s="9" t="s">
        <v>124</v>
      </c>
      <c r="C27" s="10" t="s">
        <v>125</v>
      </c>
      <c r="D27" s="9">
        <v>2.0</v>
      </c>
      <c r="E27" s="9" t="s">
        <v>123</v>
      </c>
      <c r="F27" s="11">
        <v>25.0</v>
      </c>
      <c r="G27" s="11">
        <v>50.0</v>
      </c>
    </row>
    <row r="28">
      <c r="A28" s="9">
        <v>27.0</v>
      </c>
      <c r="B28" s="9" t="s">
        <v>126</v>
      </c>
      <c r="C28" s="10" t="s">
        <v>127</v>
      </c>
      <c r="D28" s="9">
        <v>2.0</v>
      </c>
      <c r="E28" s="9" t="s">
        <v>128</v>
      </c>
      <c r="F28" s="11">
        <v>250.0</v>
      </c>
      <c r="G28" s="11">
        <v>500.0</v>
      </c>
    </row>
    <row r="29">
      <c r="A29" s="12" t="s">
        <v>129</v>
      </c>
      <c r="B29" s="13"/>
      <c r="C29" s="13"/>
      <c r="D29" s="13"/>
      <c r="E29" s="13"/>
      <c r="F29" s="14"/>
      <c r="G29" s="15" t="s">
        <v>130</v>
      </c>
    </row>
    <row r="30">
      <c r="A30" s="16"/>
      <c r="B30" s="16"/>
      <c r="C30" s="16"/>
      <c r="D30" s="16"/>
      <c r="E30" s="16"/>
      <c r="F30" s="16"/>
      <c r="G30" s="16"/>
    </row>
    <row r="31" ht="19.5" customHeight="1">
      <c r="A31" s="16"/>
      <c r="B31" s="17" t="s">
        <v>131</v>
      </c>
      <c r="C31" s="18">
        <v>100.0</v>
      </c>
      <c r="D31" s="16"/>
      <c r="E31" s="16"/>
      <c r="F31" s="16"/>
      <c r="G31" s="16"/>
    </row>
  </sheetData>
  <mergeCells count="1">
    <mergeCell ref="A29:F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4.25"/>
    <col customWidth="1" min="3" max="3" width="24.5"/>
    <col customWidth="1" min="4" max="4" width="16.13"/>
    <col customWidth="1" min="5" max="5" width="16.0"/>
    <col customWidth="1" min="6" max="6" width="27.0"/>
    <col customWidth="1" min="7" max="7" width="23.88"/>
    <col customWidth="1" min="8" max="8" width="24.25"/>
  </cols>
  <sheetData>
    <row r="1">
      <c r="A1" s="8" t="s">
        <v>0</v>
      </c>
      <c r="B1" s="8" t="s">
        <v>132</v>
      </c>
      <c r="C1" s="19" t="s">
        <v>133</v>
      </c>
      <c r="D1" s="19" t="s">
        <v>134</v>
      </c>
      <c r="E1" s="19" t="s">
        <v>135</v>
      </c>
      <c r="F1" s="8" t="s">
        <v>136</v>
      </c>
      <c r="G1" s="8" t="s">
        <v>137</v>
      </c>
      <c r="H1" s="8" t="s">
        <v>138</v>
      </c>
    </row>
    <row r="2">
      <c r="A2" s="3">
        <v>1.0</v>
      </c>
      <c r="B2" s="20" t="s">
        <v>9</v>
      </c>
      <c r="C2" s="20" t="s">
        <v>12</v>
      </c>
      <c r="D2" s="20">
        <v>100.0</v>
      </c>
      <c r="E2" s="20">
        <v>8.0</v>
      </c>
      <c r="F2" s="20">
        <v>112.5</v>
      </c>
      <c r="G2" s="20">
        <v>9.375</v>
      </c>
      <c r="H2" s="20">
        <v>112.5</v>
      </c>
    </row>
    <row r="3">
      <c r="A3" s="3">
        <v>2.0</v>
      </c>
      <c r="B3" s="20" t="s">
        <v>139</v>
      </c>
      <c r="C3" s="20">
        <v>450.0</v>
      </c>
      <c r="D3" s="20">
        <v>45.0</v>
      </c>
      <c r="E3" s="20">
        <v>5.0</v>
      </c>
      <c r="F3" s="20">
        <v>81.0</v>
      </c>
      <c r="G3" s="20">
        <v>6.75</v>
      </c>
      <c r="H3" s="20">
        <v>27.0</v>
      </c>
    </row>
    <row r="4">
      <c r="A4" s="3">
        <v>3.0</v>
      </c>
      <c r="B4" s="20" t="s">
        <v>15</v>
      </c>
      <c r="C4" s="20">
        <v>600.0</v>
      </c>
      <c r="D4" s="20">
        <v>60.0</v>
      </c>
      <c r="E4" s="20">
        <v>5.0</v>
      </c>
      <c r="F4" s="20">
        <v>108.0</v>
      </c>
      <c r="G4" s="20">
        <v>9.0</v>
      </c>
      <c r="H4" s="20">
        <v>108.0</v>
      </c>
    </row>
    <row r="5">
      <c r="A5" s="3">
        <v>4.0</v>
      </c>
      <c r="B5" s="20" t="s">
        <v>18</v>
      </c>
      <c r="C5" s="20">
        <v>450.0</v>
      </c>
      <c r="D5" s="20">
        <v>45.0</v>
      </c>
      <c r="E5" s="20">
        <v>5.0</v>
      </c>
      <c r="F5" s="20">
        <v>81.0</v>
      </c>
      <c r="G5" s="20">
        <v>6.75</v>
      </c>
      <c r="H5" s="20">
        <v>81.0</v>
      </c>
    </row>
    <row r="6">
      <c r="A6" s="3">
        <v>5.0</v>
      </c>
      <c r="B6" s="20" t="s">
        <v>21</v>
      </c>
      <c r="C6" s="20" t="s">
        <v>23</v>
      </c>
      <c r="D6" s="20">
        <v>180.0</v>
      </c>
      <c r="E6" s="20">
        <v>7.0</v>
      </c>
      <c r="F6" s="20">
        <v>231.429</v>
      </c>
      <c r="G6" s="20">
        <v>19.286</v>
      </c>
      <c r="H6" s="20">
        <v>231.429</v>
      </c>
    </row>
    <row r="7">
      <c r="A7" s="3">
        <v>6.0</v>
      </c>
      <c r="B7" s="20" t="s">
        <v>24</v>
      </c>
      <c r="C7" s="20" t="s">
        <v>26</v>
      </c>
      <c r="D7" s="20">
        <v>200.0</v>
      </c>
      <c r="E7" s="20">
        <v>7.0</v>
      </c>
      <c r="F7" s="20">
        <v>257.143</v>
      </c>
      <c r="G7" s="20">
        <v>21.429</v>
      </c>
      <c r="H7" s="20">
        <v>257.143</v>
      </c>
    </row>
    <row r="8">
      <c r="A8" s="3">
        <v>7.0</v>
      </c>
      <c r="B8" s="20" t="s">
        <v>27</v>
      </c>
      <c r="C8" s="20" t="s">
        <v>29</v>
      </c>
      <c r="D8" s="20">
        <v>115.0</v>
      </c>
      <c r="E8" s="20">
        <v>5.0</v>
      </c>
      <c r="F8" s="20">
        <v>207.0</v>
      </c>
      <c r="G8" s="20">
        <v>17.25</v>
      </c>
      <c r="H8" s="20">
        <v>207.0</v>
      </c>
    </row>
    <row r="9">
      <c r="A9" s="3">
        <v>8.0</v>
      </c>
      <c r="B9" s="20" t="s">
        <v>30</v>
      </c>
      <c r="C9" s="20">
        <v>120.0</v>
      </c>
      <c r="D9" s="20">
        <v>12.0</v>
      </c>
      <c r="E9" s="20">
        <v>5.0</v>
      </c>
      <c r="F9" s="20">
        <v>21.6</v>
      </c>
      <c r="G9" s="20">
        <v>1.8</v>
      </c>
      <c r="H9" s="20">
        <v>21.6</v>
      </c>
    </row>
    <row r="10">
      <c r="A10" s="3">
        <v>9.0</v>
      </c>
      <c r="B10" s="20" t="s">
        <v>140</v>
      </c>
      <c r="C10" s="20">
        <v>500.0</v>
      </c>
      <c r="D10" s="20">
        <v>50.0</v>
      </c>
      <c r="E10" s="20">
        <v>3.0</v>
      </c>
      <c r="F10" s="20">
        <v>150.0</v>
      </c>
      <c r="G10" s="20">
        <v>12.5</v>
      </c>
      <c r="H10" s="20">
        <v>15.0</v>
      </c>
    </row>
    <row r="11">
      <c r="A11" s="3">
        <v>10.0</v>
      </c>
      <c r="B11" s="20" t="s">
        <v>34</v>
      </c>
      <c r="C11" s="20">
        <v>700.0</v>
      </c>
      <c r="D11" s="20">
        <v>70.0</v>
      </c>
      <c r="E11" s="20">
        <v>5.0</v>
      </c>
      <c r="F11" s="20">
        <v>126.0</v>
      </c>
      <c r="G11" s="20">
        <v>10.5</v>
      </c>
      <c r="H11" s="20">
        <v>126.0</v>
      </c>
    </row>
    <row r="12">
      <c r="A12" s="3">
        <v>11.0</v>
      </c>
      <c r="B12" s="20" t="s">
        <v>36</v>
      </c>
      <c r="C12" s="20">
        <v>350.0</v>
      </c>
      <c r="D12" s="20">
        <v>35.0</v>
      </c>
      <c r="E12" s="20">
        <v>5.0</v>
      </c>
      <c r="F12" s="20">
        <v>63.0</v>
      </c>
      <c r="G12" s="20">
        <v>5.25</v>
      </c>
      <c r="H12" s="20">
        <v>63.0</v>
      </c>
    </row>
    <row r="13">
      <c r="A13" s="3">
        <v>12.0</v>
      </c>
      <c r="B13" s="20" t="s">
        <v>38</v>
      </c>
      <c r="C13" s="20">
        <v>800.0</v>
      </c>
      <c r="D13" s="20">
        <v>80.0</v>
      </c>
      <c r="E13" s="20">
        <v>7.0</v>
      </c>
      <c r="F13" s="20">
        <v>102.857</v>
      </c>
      <c r="G13" s="20">
        <v>8.571</v>
      </c>
      <c r="H13" s="20">
        <v>102.857</v>
      </c>
    </row>
    <row r="14">
      <c r="A14" s="3">
        <v>13.0</v>
      </c>
      <c r="B14" s="20" t="s">
        <v>141</v>
      </c>
      <c r="C14" s="20">
        <v>200.0</v>
      </c>
      <c r="D14" s="20">
        <v>20.0</v>
      </c>
      <c r="E14" s="20">
        <v>5.0</v>
      </c>
      <c r="F14" s="20">
        <v>36.0</v>
      </c>
      <c r="G14" s="20">
        <v>3.0</v>
      </c>
      <c r="H14" s="20">
        <v>18.0</v>
      </c>
    </row>
    <row r="15">
      <c r="A15" s="3">
        <v>14.0</v>
      </c>
      <c r="B15" s="20" t="s">
        <v>42</v>
      </c>
      <c r="C15" s="20" t="s">
        <v>44</v>
      </c>
      <c r="D15" s="20">
        <v>450.0</v>
      </c>
      <c r="E15" s="20">
        <v>3.0</v>
      </c>
      <c r="F15" s="20" t="s">
        <v>142</v>
      </c>
      <c r="G15" s="20">
        <v>112.5</v>
      </c>
      <c r="H15" s="20" t="s">
        <v>142</v>
      </c>
    </row>
    <row r="16">
      <c r="A16" s="3">
        <v>15.0</v>
      </c>
      <c r="B16" s="20" t="s">
        <v>45</v>
      </c>
      <c r="C16" s="20">
        <v>900.0</v>
      </c>
      <c r="D16" s="20">
        <v>90.0</v>
      </c>
      <c r="E16" s="20">
        <v>4.0</v>
      </c>
      <c r="F16" s="20">
        <v>202.5</v>
      </c>
      <c r="G16" s="20">
        <v>16.875</v>
      </c>
      <c r="H16" s="20">
        <v>202.5</v>
      </c>
    </row>
    <row r="17">
      <c r="A17" s="3">
        <v>16.0</v>
      </c>
      <c r="B17" s="20" t="s">
        <v>47</v>
      </c>
      <c r="C17" s="20">
        <v>250.0</v>
      </c>
      <c r="D17" s="20">
        <v>25.0</v>
      </c>
      <c r="E17" s="20">
        <v>3.0</v>
      </c>
      <c r="F17" s="20">
        <v>75.0</v>
      </c>
      <c r="G17" s="20">
        <v>6.25</v>
      </c>
      <c r="H17" s="20">
        <v>75.0</v>
      </c>
    </row>
    <row r="18">
      <c r="A18" s="3">
        <v>17.0</v>
      </c>
      <c r="B18" s="20" t="s">
        <v>143</v>
      </c>
      <c r="C18" s="20">
        <v>800.0</v>
      </c>
      <c r="D18" s="20">
        <v>80.0</v>
      </c>
      <c r="E18" s="20">
        <v>4.0</v>
      </c>
      <c r="F18" s="20">
        <v>180.0</v>
      </c>
      <c r="G18" s="20">
        <v>15.0</v>
      </c>
      <c r="H18" s="20">
        <v>180.0</v>
      </c>
    </row>
    <row r="19">
      <c r="A19" s="3">
        <v>18.0</v>
      </c>
      <c r="B19" s="20" t="s">
        <v>144</v>
      </c>
      <c r="C19" s="20">
        <v>500.0</v>
      </c>
      <c r="D19" s="20">
        <v>50.0</v>
      </c>
      <c r="E19" s="20">
        <v>1.0</v>
      </c>
      <c r="F19" s="20">
        <v>450.0</v>
      </c>
      <c r="G19" s="20">
        <v>37.5</v>
      </c>
      <c r="H19" s="20">
        <v>225.0</v>
      </c>
    </row>
    <row r="20">
      <c r="A20" s="3">
        <v>19.0</v>
      </c>
      <c r="B20" s="20" t="s">
        <v>145</v>
      </c>
      <c r="C20" s="20">
        <v>300.0</v>
      </c>
      <c r="D20" s="20">
        <v>30.0</v>
      </c>
      <c r="E20" s="20">
        <v>1.0</v>
      </c>
      <c r="F20" s="20">
        <v>270.0</v>
      </c>
      <c r="G20" s="20">
        <v>22.5</v>
      </c>
      <c r="H20" s="20">
        <v>270.0</v>
      </c>
    </row>
    <row r="21">
      <c r="A21" s="3">
        <v>20.0</v>
      </c>
      <c r="B21" s="20" t="s">
        <v>56</v>
      </c>
      <c r="C21" s="20" t="s">
        <v>12</v>
      </c>
      <c r="D21" s="20">
        <v>100.0</v>
      </c>
      <c r="E21" s="20">
        <v>3.0</v>
      </c>
      <c r="F21" s="20">
        <v>300.0</v>
      </c>
      <c r="G21" s="20">
        <v>25.0</v>
      </c>
      <c r="H21" s="20">
        <v>300.0</v>
      </c>
    </row>
    <row r="22">
      <c r="A22" s="21" t="s">
        <v>129</v>
      </c>
      <c r="B22" s="14"/>
      <c r="C22" s="22" t="s">
        <v>146</v>
      </c>
      <c r="D22" s="23">
        <f t="shared" ref="D22:H22" si="1">SUM(D2:D21)</f>
        <v>1837</v>
      </c>
      <c r="E22" s="23">
        <f t="shared" si="1"/>
        <v>91</v>
      </c>
      <c r="F22" s="23">
        <f t="shared" si="1"/>
        <v>3055.029</v>
      </c>
      <c r="G22" s="23">
        <f t="shared" si="1"/>
        <v>367.086</v>
      </c>
      <c r="H22" s="23">
        <f t="shared" si="1"/>
        <v>2623.029</v>
      </c>
    </row>
  </sheetData>
  <mergeCells count="1">
    <mergeCell ref="A22:B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3" width="34.75"/>
  </cols>
  <sheetData>
    <row r="1">
      <c r="A1" s="24" t="s">
        <v>147</v>
      </c>
    </row>
    <row r="2">
      <c r="A2" s="25" t="s">
        <v>0</v>
      </c>
      <c r="B2" s="25" t="s">
        <v>148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</row>
    <row r="3">
      <c r="A3" s="26">
        <v>1.0</v>
      </c>
      <c r="B3" s="26" t="s">
        <v>149</v>
      </c>
      <c r="C3" s="26" t="s">
        <v>150</v>
      </c>
      <c r="D3" s="27"/>
      <c r="E3" s="27"/>
      <c r="F3" s="27"/>
      <c r="G3" s="26" t="s">
        <v>151</v>
      </c>
    </row>
    <row r="4">
      <c r="A4" s="28"/>
      <c r="B4" s="28"/>
      <c r="C4" s="28"/>
      <c r="D4" s="27"/>
      <c r="E4" s="27"/>
      <c r="F4" s="27"/>
      <c r="G4" s="26" t="s">
        <v>152</v>
      </c>
    </row>
    <row r="5">
      <c r="A5" s="29" t="s">
        <v>129</v>
      </c>
      <c r="B5" s="13"/>
      <c r="C5" s="13"/>
      <c r="D5" s="13"/>
      <c r="E5" s="13"/>
      <c r="F5" s="14"/>
      <c r="G5" s="25" t="s">
        <v>151</v>
      </c>
    </row>
    <row r="6">
      <c r="A6" s="30"/>
      <c r="B6" s="31"/>
      <c r="C6" s="31"/>
      <c r="D6" s="30"/>
      <c r="E6" s="30"/>
      <c r="F6" s="30"/>
      <c r="G6" s="30"/>
    </row>
    <row r="7">
      <c r="A7" s="25" t="s">
        <v>0</v>
      </c>
      <c r="B7" s="25" t="s">
        <v>153</v>
      </c>
      <c r="C7" s="25" t="s">
        <v>2</v>
      </c>
      <c r="D7" s="25" t="s">
        <v>3</v>
      </c>
      <c r="E7" s="25" t="s">
        <v>4</v>
      </c>
      <c r="F7" s="25" t="s">
        <v>5</v>
      </c>
      <c r="G7" s="25" t="s">
        <v>6</v>
      </c>
    </row>
    <row r="8">
      <c r="A8" s="27"/>
      <c r="B8" s="27"/>
      <c r="C8" s="27"/>
      <c r="D8" s="27"/>
      <c r="E8" s="27"/>
      <c r="F8" s="27"/>
      <c r="G8" s="26" t="s">
        <v>152</v>
      </c>
    </row>
    <row r="9">
      <c r="A9" s="27"/>
      <c r="B9" s="27"/>
      <c r="C9" s="27"/>
      <c r="D9" s="27"/>
      <c r="E9" s="27"/>
      <c r="F9" s="27"/>
      <c r="G9" s="26" t="s">
        <v>152</v>
      </c>
    </row>
    <row r="10">
      <c r="A10" s="29" t="s">
        <v>129</v>
      </c>
      <c r="B10" s="13"/>
      <c r="C10" s="13"/>
      <c r="D10" s="13"/>
      <c r="E10" s="13"/>
      <c r="F10" s="14"/>
      <c r="G10" s="25" t="s">
        <v>152</v>
      </c>
    </row>
    <row r="11">
      <c r="A11" s="30"/>
      <c r="B11" s="30"/>
      <c r="C11" s="30"/>
      <c r="D11" s="30"/>
      <c r="E11" s="30"/>
      <c r="F11" s="30"/>
      <c r="G11" s="30"/>
    </row>
    <row r="12">
      <c r="A12" s="24" t="s">
        <v>154</v>
      </c>
    </row>
    <row r="13">
      <c r="A13" s="27"/>
      <c r="B13" s="27"/>
      <c r="C13" s="27"/>
      <c r="D13" s="27"/>
      <c r="E13" s="27"/>
      <c r="F13" s="27"/>
      <c r="G13" s="26" t="s">
        <v>152</v>
      </c>
    </row>
    <row r="14">
      <c r="A14" s="27"/>
      <c r="B14" s="27"/>
      <c r="C14" s="27"/>
      <c r="D14" s="27"/>
      <c r="E14" s="27"/>
      <c r="F14" s="27"/>
      <c r="G14" s="26" t="s">
        <v>152</v>
      </c>
    </row>
    <row r="15">
      <c r="A15" s="29" t="s">
        <v>129</v>
      </c>
      <c r="B15" s="13"/>
      <c r="C15" s="13"/>
      <c r="D15" s="13"/>
      <c r="E15" s="13"/>
      <c r="F15" s="14"/>
      <c r="G15" s="25" t="s">
        <v>152</v>
      </c>
    </row>
  </sheetData>
  <mergeCells count="5">
    <mergeCell ref="A1:G1"/>
    <mergeCell ref="A5:F5"/>
    <mergeCell ref="A10:F10"/>
    <mergeCell ref="A12:G12"/>
    <mergeCell ref="A15:F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2.75"/>
  </cols>
  <sheetData>
    <row r="1">
      <c r="A1" s="25" t="s">
        <v>0</v>
      </c>
      <c r="B1" s="25" t="s">
        <v>2</v>
      </c>
      <c r="C1" s="25" t="s">
        <v>6</v>
      </c>
    </row>
    <row r="2">
      <c r="A2" s="26">
        <v>1.0</v>
      </c>
      <c r="B2" s="26" t="s">
        <v>155</v>
      </c>
      <c r="C2" s="26" t="s">
        <v>156</v>
      </c>
    </row>
    <row r="3">
      <c r="A3" s="26">
        <v>2.0</v>
      </c>
      <c r="B3" s="26" t="s">
        <v>60</v>
      </c>
      <c r="C3" s="26" t="s">
        <v>156</v>
      </c>
    </row>
    <row r="4">
      <c r="A4" s="26">
        <v>3.0</v>
      </c>
      <c r="B4" s="26" t="s">
        <v>147</v>
      </c>
      <c r="C4" s="26" t="s">
        <v>152</v>
      </c>
    </row>
    <row r="5">
      <c r="A5" s="26">
        <v>4.0</v>
      </c>
      <c r="B5" s="26" t="s">
        <v>157</v>
      </c>
      <c r="C5" s="26" t="s">
        <v>152</v>
      </c>
    </row>
    <row r="6">
      <c r="A6" s="32"/>
      <c r="B6" s="25" t="s">
        <v>158</v>
      </c>
      <c r="C6" s="25" t="s">
        <v>156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</cols>
  <sheetData>
    <row r="1">
      <c r="A1" s="33" t="s">
        <v>0</v>
      </c>
      <c r="B1" s="34" t="s">
        <v>159</v>
      </c>
      <c r="C1" s="34" t="s">
        <v>5</v>
      </c>
    </row>
    <row r="2">
      <c r="A2" s="35"/>
      <c r="B2" s="36" t="s">
        <v>60</v>
      </c>
      <c r="C2" s="36" t="s">
        <v>156</v>
      </c>
    </row>
    <row r="3">
      <c r="A3" s="35"/>
      <c r="B3" s="36" t="s">
        <v>160</v>
      </c>
      <c r="C3" s="36" t="s">
        <v>152</v>
      </c>
    </row>
    <row r="4">
      <c r="A4" s="35"/>
      <c r="B4" s="34" t="s">
        <v>161</v>
      </c>
      <c r="C4" s="34" t="s">
        <v>156</v>
      </c>
    </row>
    <row r="5">
      <c r="A5" s="35"/>
      <c r="B5" s="36" t="s">
        <v>162</v>
      </c>
      <c r="C5" s="36" t="s">
        <v>152</v>
      </c>
    </row>
    <row r="6">
      <c r="A6" s="35"/>
      <c r="B6" s="36" t="s">
        <v>157</v>
      </c>
      <c r="C6" s="36" t="s">
        <v>152</v>
      </c>
    </row>
    <row r="7">
      <c r="A7" s="35"/>
      <c r="B7" s="34" t="s">
        <v>163</v>
      </c>
      <c r="C7" s="34" t="s">
        <v>156</v>
      </c>
    </row>
    <row r="8">
      <c r="A8" s="35"/>
      <c r="B8" s="36" t="s">
        <v>164</v>
      </c>
      <c r="C8" s="36" t="s">
        <v>156</v>
      </c>
    </row>
    <row r="9">
      <c r="A9" s="35"/>
      <c r="B9" s="34" t="s">
        <v>165</v>
      </c>
      <c r="C9" s="34" t="s">
        <v>156</v>
      </c>
    </row>
    <row r="10">
      <c r="A10" s="35"/>
      <c r="B10" s="36" t="s">
        <v>166</v>
      </c>
      <c r="C10" s="36" t="s">
        <v>156</v>
      </c>
    </row>
    <row r="11">
      <c r="A11" s="35"/>
      <c r="B11" s="36" t="s">
        <v>167</v>
      </c>
      <c r="C11" s="36" t="s">
        <v>156</v>
      </c>
    </row>
    <row r="12">
      <c r="A12" s="35"/>
      <c r="B12" s="37" t="s">
        <v>168</v>
      </c>
      <c r="C12" s="37" t="s">
        <v>156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4.63"/>
  </cols>
  <sheetData>
    <row r="1">
      <c r="A1" s="25" t="s">
        <v>169</v>
      </c>
      <c r="B1" s="25" t="s">
        <v>170</v>
      </c>
    </row>
    <row r="2">
      <c r="A2" s="38" t="s">
        <v>171</v>
      </c>
      <c r="B2" s="27"/>
    </row>
    <row r="3">
      <c r="A3" s="26" t="s">
        <v>172</v>
      </c>
      <c r="B3" s="26" t="s">
        <v>173</v>
      </c>
    </row>
    <row r="4">
      <c r="A4" s="38" t="s">
        <v>6</v>
      </c>
      <c r="B4" s="26" t="s">
        <v>173</v>
      </c>
    </row>
    <row r="5">
      <c r="A5" s="27"/>
      <c r="B5" s="27"/>
    </row>
    <row r="6">
      <c r="A6" s="38" t="s">
        <v>174</v>
      </c>
      <c r="B6" s="27"/>
    </row>
    <row r="7">
      <c r="A7" s="26" t="s">
        <v>175</v>
      </c>
      <c r="B7" s="26" t="s">
        <v>176</v>
      </c>
    </row>
    <row r="8">
      <c r="A8" s="26" t="s">
        <v>177</v>
      </c>
      <c r="B8" s="26" t="s">
        <v>152</v>
      </c>
    </row>
    <row r="9">
      <c r="A9" s="26" t="s">
        <v>178</v>
      </c>
      <c r="B9" s="26" t="s">
        <v>152</v>
      </c>
    </row>
    <row r="10">
      <c r="A10" s="26" t="s">
        <v>179</v>
      </c>
      <c r="B10" s="26" t="s">
        <v>152</v>
      </c>
    </row>
    <row r="11">
      <c r="A11" s="38" t="s">
        <v>180</v>
      </c>
      <c r="B11" s="26" t="s">
        <v>176</v>
      </c>
    </row>
    <row r="12">
      <c r="A12" s="27"/>
      <c r="B12" s="27"/>
    </row>
    <row r="13">
      <c r="A13" s="27"/>
      <c r="B13" s="27"/>
    </row>
    <row r="14">
      <c r="A14" s="38" t="s">
        <v>181</v>
      </c>
      <c r="B14" s="26" t="s">
        <v>182</v>
      </c>
    </row>
    <row r="15">
      <c r="A15" s="38" t="s">
        <v>183</v>
      </c>
      <c r="B15" s="26" t="s">
        <v>184</v>
      </c>
    </row>
    <row r="16">
      <c r="A16" s="38" t="s">
        <v>185</v>
      </c>
      <c r="B16" s="39">
        <v>31.0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25" t="s">
        <v>186</v>
      </c>
      <c r="B1" s="40">
        <v>1.0</v>
      </c>
      <c r="C1" s="40">
        <v>2.0</v>
      </c>
      <c r="D1" s="40">
        <v>3.0</v>
      </c>
      <c r="E1" s="40">
        <v>4.0</v>
      </c>
      <c r="F1" s="40">
        <v>5.0</v>
      </c>
      <c r="G1" s="40">
        <v>6.0</v>
      </c>
      <c r="H1" s="40">
        <v>7.0</v>
      </c>
      <c r="I1" s="40">
        <v>8.0</v>
      </c>
      <c r="J1" s="40">
        <v>9.0</v>
      </c>
      <c r="K1" s="40">
        <v>10.0</v>
      </c>
      <c r="L1" s="40">
        <v>11.0</v>
      </c>
      <c r="M1" s="40">
        <v>12.0</v>
      </c>
    </row>
    <row r="2">
      <c r="A2" s="41" t="s">
        <v>187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>
      <c r="A3" s="41" t="s">
        <v>188</v>
      </c>
      <c r="B3" s="4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</row>
    <row r="4">
      <c r="A4" s="44" t="s">
        <v>189</v>
      </c>
      <c r="B4" s="45" t="s">
        <v>190</v>
      </c>
      <c r="C4" s="45" t="s">
        <v>151</v>
      </c>
      <c r="D4" s="45" t="s">
        <v>151</v>
      </c>
      <c r="E4" s="45" t="s">
        <v>151</v>
      </c>
      <c r="F4" s="45" t="s">
        <v>151</v>
      </c>
      <c r="G4" s="45" t="s">
        <v>151</v>
      </c>
      <c r="H4" s="45" t="s">
        <v>151</v>
      </c>
      <c r="I4" s="45" t="s">
        <v>151</v>
      </c>
      <c r="J4" s="45" t="s">
        <v>151</v>
      </c>
      <c r="K4" s="45" t="s">
        <v>151</v>
      </c>
      <c r="L4" s="45" t="s">
        <v>151</v>
      </c>
      <c r="M4" s="45" t="s">
        <v>151</v>
      </c>
    </row>
    <row r="5">
      <c r="A5" s="46" t="s">
        <v>191</v>
      </c>
      <c r="B5" s="4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</row>
    <row r="6">
      <c r="A6" s="41" t="s">
        <v>192</v>
      </c>
      <c r="B6" s="45" t="s">
        <v>193</v>
      </c>
      <c r="C6" s="45" t="s">
        <v>152</v>
      </c>
      <c r="D6" s="45" t="s">
        <v>152</v>
      </c>
      <c r="E6" s="45" t="s">
        <v>152</v>
      </c>
      <c r="F6" s="45" t="s">
        <v>152</v>
      </c>
      <c r="G6" s="45" t="s">
        <v>152</v>
      </c>
      <c r="H6" s="45" t="s">
        <v>152</v>
      </c>
      <c r="I6" s="45" t="s">
        <v>152</v>
      </c>
      <c r="J6" s="45" t="s">
        <v>152</v>
      </c>
      <c r="K6" s="45" t="s">
        <v>152</v>
      </c>
      <c r="L6" s="45" t="s">
        <v>152</v>
      </c>
      <c r="M6" s="45" t="s">
        <v>152</v>
      </c>
    </row>
    <row r="7">
      <c r="A7" s="41" t="s">
        <v>60</v>
      </c>
      <c r="B7" s="45" t="s">
        <v>152</v>
      </c>
      <c r="C7" s="45" t="s">
        <v>152</v>
      </c>
      <c r="D7" s="45" t="s">
        <v>152</v>
      </c>
      <c r="E7" s="45" t="s">
        <v>152</v>
      </c>
      <c r="F7" s="45" t="s">
        <v>152</v>
      </c>
      <c r="G7" s="45" t="s">
        <v>152</v>
      </c>
      <c r="H7" s="45" t="s">
        <v>152</v>
      </c>
      <c r="I7" s="45" t="s">
        <v>152</v>
      </c>
      <c r="J7" s="45" t="s">
        <v>152</v>
      </c>
      <c r="K7" s="45" t="s">
        <v>152</v>
      </c>
      <c r="L7" s="45" t="s">
        <v>152</v>
      </c>
      <c r="M7" s="45" t="s">
        <v>152</v>
      </c>
    </row>
    <row r="8">
      <c r="A8" s="41" t="s">
        <v>194</v>
      </c>
      <c r="B8" s="45" t="s">
        <v>152</v>
      </c>
      <c r="C8" s="45" t="s">
        <v>152</v>
      </c>
      <c r="D8" s="45" t="s">
        <v>152</v>
      </c>
      <c r="E8" s="45" t="s">
        <v>152</v>
      </c>
      <c r="F8" s="45" t="s">
        <v>152</v>
      </c>
      <c r="G8" s="45" t="s">
        <v>152</v>
      </c>
      <c r="H8" s="45" t="s">
        <v>152</v>
      </c>
      <c r="I8" s="45" t="s">
        <v>152</v>
      </c>
      <c r="J8" s="45" t="s">
        <v>152</v>
      </c>
      <c r="K8" s="45" t="s">
        <v>152</v>
      </c>
      <c r="L8" s="45" t="s">
        <v>152</v>
      </c>
      <c r="M8" s="45" t="s">
        <v>152</v>
      </c>
    </row>
    <row r="9">
      <c r="A9" s="41" t="s">
        <v>195</v>
      </c>
      <c r="B9" s="45" t="s">
        <v>152</v>
      </c>
      <c r="C9" s="45" t="s">
        <v>152</v>
      </c>
      <c r="D9" s="45" t="s">
        <v>152</v>
      </c>
      <c r="E9" s="45" t="s">
        <v>152</v>
      </c>
      <c r="F9" s="45" t="s">
        <v>152</v>
      </c>
      <c r="G9" s="45" t="s">
        <v>152</v>
      </c>
      <c r="H9" s="45" t="s">
        <v>152</v>
      </c>
      <c r="I9" s="45" t="s">
        <v>152</v>
      </c>
      <c r="J9" s="45" t="s">
        <v>152</v>
      </c>
      <c r="K9" s="45" t="s">
        <v>152</v>
      </c>
      <c r="L9" s="45" t="s">
        <v>152</v>
      </c>
      <c r="M9" s="45" t="s">
        <v>152</v>
      </c>
    </row>
    <row r="10">
      <c r="A10" s="41" t="s">
        <v>157</v>
      </c>
      <c r="B10" s="45" t="s">
        <v>152</v>
      </c>
      <c r="C10" s="45" t="s">
        <v>152</v>
      </c>
      <c r="D10" s="45" t="s">
        <v>152</v>
      </c>
      <c r="E10" s="45" t="s">
        <v>152</v>
      </c>
      <c r="F10" s="45" t="s">
        <v>152</v>
      </c>
      <c r="G10" s="45" t="s">
        <v>152</v>
      </c>
      <c r="H10" s="45" t="s">
        <v>152</v>
      </c>
      <c r="I10" s="45" t="s">
        <v>152</v>
      </c>
      <c r="J10" s="45" t="s">
        <v>152</v>
      </c>
      <c r="K10" s="45" t="s">
        <v>152</v>
      </c>
      <c r="L10" s="45" t="s">
        <v>152</v>
      </c>
      <c r="M10" s="45" t="s">
        <v>152</v>
      </c>
    </row>
    <row r="11">
      <c r="A11" s="46" t="s">
        <v>6</v>
      </c>
      <c r="B11" s="40" t="s">
        <v>193</v>
      </c>
      <c r="C11" s="40" t="s">
        <v>152</v>
      </c>
      <c r="D11" s="40" t="s">
        <v>152</v>
      </c>
      <c r="E11" s="40" t="s">
        <v>152</v>
      </c>
      <c r="F11" s="40" t="s">
        <v>152</v>
      </c>
      <c r="G11" s="40" t="s">
        <v>152</v>
      </c>
      <c r="H11" s="40" t="s">
        <v>152</v>
      </c>
      <c r="I11" s="40" t="s">
        <v>152</v>
      </c>
      <c r="J11" s="40" t="s">
        <v>152</v>
      </c>
      <c r="K11" s="40" t="s">
        <v>152</v>
      </c>
      <c r="L11" s="40" t="s">
        <v>152</v>
      </c>
      <c r="M11" s="40" t="s">
        <v>152</v>
      </c>
    </row>
    <row r="12">
      <c r="A12" s="44" t="s">
        <v>196</v>
      </c>
      <c r="B12" s="45" t="s">
        <v>151</v>
      </c>
      <c r="C12" s="45" t="s">
        <v>151</v>
      </c>
      <c r="D12" s="45" t="s">
        <v>151</v>
      </c>
      <c r="E12" s="45" t="s">
        <v>151</v>
      </c>
      <c r="F12" s="45" t="s">
        <v>151</v>
      </c>
      <c r="G12" s="45" t="s">
        <v>151</v>
      </c>
      <c r="H12" s="45" t="s">
        <v>151</v>
      </c>
      <c r="I12" s="45" t="s">
        <v>151</v>
      </c>
      <c r="J12" s="45" t="s">
        <v>151</v>
      </c>
      <c r="K12" s="45" t="s">
        <v>151</v>
      </c>
      <c r="L12" s="45" t="s">
        <v>151</v>
      </c>
      <c r="M12" s="45" t="s">
        <v>151</v>
      </c>
    </row>
    <row r="13">
      <c r="A13" s="46" t="s">
        <v>197</v>
      </c>
      <c r="B13" s="4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</row>
    <row r="14">
      <c r="A14" s="41" t="s">
        <v>198</v>
      </c>
      <c r="B14" s="45" t="s">
        <v>152</v>
      </c>
      <c r="C14" s="45" t="s">
        <v>152</v>
      </c>
      <c r="D14" s="45" t="s">
        <v>152</v>
      </c>
      <c r="E14" s="45" t="s">
        <v>152</v>
      </c>
      <c r="F14" s="45" t="s">
        <v>152</v>
      </c>
      <c r="G14" s="45" t="s">
        <v>152</v>
      </c>
      <c r="H14" s="45" t="s">
        <v>152</v>
      </c>
      <c r="I14" s="45" t="s">
        <v>152</v>
      </c>
      <c r="J14" s="45" t="s">
        <v>152</v>
      </c>
      <c r="K14" s="45" t="s">
        <v>152</v>
      </c>
      <c r="L14" s="45" t="s">
        <v>152</v>
      </c>
      <c r="M14" s="45" t="s">
        <v>152</v>
      </c>
    </row>
    <row r="15">
      <c r="A15" s="41" t="s">
        <v>6</v>
      </c>
      <c r="B15" s="45" t="s">
        <v>152</v>
      </c>
      <c r="C15" s="45" t="s">
        <v>152</v>
      </c>
      <c r="D15" s="45" t="s">
        <v>152</v>
      </c>
      <c r="E15" s="45" t="s">
        <v>152</v>
      </c>
      <c r="F15" s="45" t="s">
        <v>152</v>
      </c>
      <c r="G15" s="45" t="s">
        <v>152</v>
      </c>
      <c r="H15" s="45" t="s">
        <v>152</v>
      </c>
      <c r="I15" s="45" t="s">
        <v>152</v>
      </c>
      <c r="J15" s="45" t="s">
        <v>152</v>
      </c>
      <c r="K15" s="45" t="s">
        <v>152</v>
      </c>
      <c r="L15" s="45" t="s">
        <v>152</v>
      </c>
      <c r="M15" s="45" t="s">
        <v>152</v>
      </c>
    </row>
    <row r="16">
      <c r="A16" s="41" t="s">
        <v>199</v>
      </c>
      <c r="B16" s="45" t="s">
        <v>151</v>
      </c>
      <c r="C16" s="45" t="s">
        <v>151</v>
      </c>
      <c r="D16" s="45" t="s">
        <v>151</v>
      </c>
      <c r="E16" s="45" t="s">
        <v>151</v>
      </c>
      <c r="F16" s="45" t="s">
        <v>151</v>
      </c>
      <c r="G16" s="45" t="s">
        <v>151</v>
      </c>
      <c r="H16" s="45" t="s">
        <v>151</v>
      </c>
      <c r="I16" s="45" t="s">
        <v>151</v>
      </c>
      <c r="J16" s="45" t="s">
        <v>151</v>
      </c>
      <c r="K16" s="45" t="s">
        <v>151</v>
      </c>
      <c r="L16" s="45" t="s">
        <v>151</v>
      </c>
      <c r="M16" s="45" t="s">
        <v>151</v>
      </c>
    </row>
  </sheetData>
  <mergeCells count="3">
    <mergeCell ref="B3:M3"/>
    <mergeCell ref="B5:M5"/>
    <mergeCell ref="B13:M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25" t="s">
        <v>200</v>
      </c>
      <c r="B1" s="25">
        <v>1.0</v>
      </c>
      <c r="C1" s="25">
        <v>2.0</v>
      </c>
      <c r="D1" s="25">
        <v>3.0</v>
      </c>
      <c r="E1" s="25">
        <v>4.0</v>
      </c>
      <c r="F1" s="25">
        <v>5.0</v>
      </c>
      <c r="G1" s="25">
        <v>6.0</v>
      </c>
      <c r="H1" s="25">
        <v>7.0</v>
      </c>
      <c r="I1" s="25">
        <v>8.0</v>
      </c>
      <c r="J1" s="25">
        <v>9.0</v>
      </c>
      <c r="K1" s="25">
        <v>10.0</v>
      </c>
      <c r="L1" s="25">
        <v>11.0</v>
      </c>
      <c r="M1" s="25">
        <v>12.0</v>
      </c>
    </row>
    <row r="2">
      <c r="A2" s="26" t="s">
        <v>201</v>
      </c>
      <c r="B2" s="26" t="s">
        <v>152</v>
      </c>
      <c r="C2" s="26" t="s">
        <v>152</v>
      </c>
      <c r="D2" s="26" t="s">
        <v>152</v>
      </c>
      <c r="E2" s="26" t="s">
        <v>152</v>
      </c>
      <c r="F2" s="26" t="s">
        <v>152</v>
      </c>
      <c r="G2" s="26" t="s">
        <v>152</v>
      </c>
      <c r="H2" s="26" t="s">
        <v>152</v>
      </c>
      <c r="I2" s="26" t="s">
        <v>152</v>
      </c>
      <c r="J2" s="26" t="s">
        <v>152</v>
      </c>
      <c r="K2" s="26" t="s">
        <v>152</v>
      </c>
      <c r="L2" s="26" t="s">
        <v>152</v>
      </c>
      <c r="M2" s="26" t="s">
        <v>152</v>
      </c>
    </row>
    <row r="3">
      <c r="A3" s="26" t="s">
        <v>202</v>
      </c>
      <c r="B3" s="26" t="s">
        <v>152</v>
      </c>
      <c r="C3" s="26" t="s">
        <v>152</v>
      </c>
      <c r="D3" s="26" t="s">
        <v>152</v>
      </c>
      <c r="E3" s="26" t="s">
        <v>152</v>
      </c>
      <c r="F3" s="26" t="s">
        <v>152</v>
      </c>
      <c r="G3" s="26" t="s">
        <v>152</v>
      </c>
      <c r="H3" s="26" t="s">
        <v>152</v>
      </c>
      <c r="I3" s="26" t="s">
        <v>152</v>
      </c>
      <c r="J3" s="26" t="s">
        <v>152</v>
      </c>
      <c r="K3" s="26" t="s">
        <v>152</v>
      </c>
      <c r="L3" s="26" t="s">
        <v>152</v>
      </c>
      <c r="M3" s="26" t="s">
        <v>152</v>
      </c>
    </row>
    <row r="4">
      <c r="A4" s="26" t="s">
        <v>203</v>
      </c>
      <c r="B4" s="26" t="s">
        <v>152</v>
      </c>
      <c r="C4" s="26" t="s">
        <v>152</v>
      </c>
      <c r="D4" s="26" t="s">
        <v>152</v>
      </c>
      <c r="E4" s="26" t="s">
        <v>152</v>
      </c>
      <c r="F4" s="26" t="s">
        <v>152</v>
      </c>
      <c r="G4" s="26" t="s">
        <v>152</v>
      </c>
      <c r="H4" s="26" t="s">
        <v>152</v>
      </c>
      <c r="I4" s="26" t="s">
        <v>152</v>
      </c>
      <c r="J4" s="26" t="s">
        <v>152</v>
      </c>
      <c r="K4" s="26" t="s">
        <v>152</v>
      </c>
      <c r="L4" s="26" t="s">
        <v>152</v>
      </c>
      <c r="M4" s="26" t="s">
        <v>152</v>
      </c>
    </row>
    <row r="5">
      <c r="A5" s="26" t="s">
        <v>204</v>
      </c>
      <c r="B5" s="26" t="s">
        <v>152</v>
      </c>
      <c r="C5" s="26" t="s">
        <v>152</v>
      </c>
      <c r="D5" s="26" t="s">
        <v>152</v>
      </c>
      <c r="E5" s="26" t="s">
        <v>152</v>
      </c>
      <c r="F5" s="26" t="s">
        <v>152</v>
      </c>
      <c r="G5" s="26" t="s">
        <v>152</v>
      </c>
      <c r="H5" s="26" t="s">
        <v>152</v>
      </c>
      <c r="I5" s="26" t="s">
        <v>152</v>
      </c>
      <c r="J5" s="26" t="s">
        <v>152</v>
      </c>
      <c r="K5" s="26" t="s">
        <v>152</v>
      </c>
      <c r="L5" s="26" t="s">
        <v>152</v>
      </c>
      <c r="M5" s="26" t="s">
        <v>152</v>
      </c>
    </row>
    <row r="6">
      <c r="A6" s="26" t="s">
        <v>205</v>
      </c>
      <c r="B6" s="26" t="s">
        <v>152</v>
      </c>
      <c r="C6" s="26" t="s">
        <v>152</v>
      </c>
      <c r="D6" s="26" t="s">
        <v>152</v>
      </c>
      <c r="E6" s="26" t="s">
        <v>152</v>
      </c>
      <c r="F6" s="26" t="s">
        <v>152</v>
      </c>
      <c r="G6" s="26" t="s">
        <v>152</v>
      </c>
      <c r="H6" s="26" t="s">
        <v>152</v>
      </c>
      <c r="I6" s="26" t="s">
        <v>152</v>
      </c>
      <c r="J6" s="26" t="s">
        <v>152</v>
      </c>
      <c r="K6" s="26" t="s">
        <v>152</v>
      </c>
      <c r="L6" s="26" t="s">
        <v>152</v>
      </c>
      <c r="M6" s="26" t="s">
        <v>152</v>
      </c>
    </row>
    <row r="7">
      <c r="A7" s="26" t="s">
        <v>206</v>
      </c>
      <c r="B7" s="26" t="s">
        <v>207</v>
      </c>
      <c r="C7" s="26" t="s">
        <v>207</v>
      </c>
      <c r="D7" s="26" t="s">
        <v>207</v>
      </c>
      <c r="E7" s="26" t="s">
        <v>207</v>
      </c>
      <c r="F7" s="26" t="s">
        <v>207</v>
      </c>
      <c r="G7" s="26" t="s">
        <v>207</v>
      </c>
      <c r="H7" s="26" t="s">
        <v>207</v>
      </c>
      <c r="I7" s="26" t="s">
        <v>207</v>
      </c>
      <c r="J7" s="26" t="s">
        <v>207</v>
      </c>
      <c r="K7" s="26" t="s">
        <v>207</v>
      </c>
      <c r="L7" s="26" t="s">
        <v>207</v>
      </c>
      <c r="M7" s="26" t="s">
        <v>207</v>
      </c>
    </row>
    <row r="8">
      <c r="A8" s="26" t="s">
        <v>208</v>
      </c>
      <c r="B8" s="26" t="s">
        <v>209</v>
      </c>
      <c r="C8" s="26" t="s">
        <v>209</v>
      </c>
      <c r="D8" s="26" t="s">
        <v>209</v>
      </c>
      <c r="E8" s="26" t="s">
        <v>209</v>
      </c>
      <c r="F8" s="26" t="s">
        <v>209</v>
      </c>
      <c r="G8" s="26" t="s">
        <v>209</v>
      </c>
      <c r="H8" s="26" t="s">
        <v>209</v>
      </c>
      <c r="I8" s="26" t="s">
        <v>209</v>
      </c>
      <c r="J8" s="26" t="s">
        <v>209</v>
      </c>
      <c r="K8" s="26" t="s">
        <v>209</v>
      </c>
      <c r="L8" s="26" t="s">
        <v>209</v>
      </c>
      <c r="M8" s="26" t="s">
        <v>209</v>
      </c>
    </row>
    <row r="9">
      <c r="A9" s="25" t="s">
        <v>210</v>
      </c>
      <c r="B9" s="25" t="s">
        <v>209</v>
      </c>
      <c r="C9" s="25" t="s">
        <v>211</v>
      </c>
      <c r="D9" s="25" t="s">
        <v>212</v>
      </c>
      <c r="E9" s="25" t="s">
        <v>213</v>
      </c>
      <c r="F9" s="25" t="s">
        <v>214</v>
      </c>
      <c r="G9" s="25" t="s">
        <v>215</v>
      </c>
      <c r="H9" s="25" t="s">
        <v>216</v>
      </c>
      <c r="I9" s="25" t="s">
        <v>217</v>
      </c>
      <c r="J9" s="25" t="s">
        <v>218</v>
      </c>
      <c r="K9" s="25" t="s">
        <v>219</v>
      </c>
      <c r="L9" s="25" t="s">
        <v>220</v>
      </c>
      <c r="M9" s="25" t="s">
        <v>221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7.0"/>
  </cols>
  <sheetData>
    <row r="1">
      <c r="A1" s="25" t="s">
        <v>222</v>
      </c>
      <c r="B1" s="25" t="s">
        <v>223</v>
      </c>
      <c r="C1" s="25" t="s">
        <v>224</v>
      </c>
      <c r="D1" s="47" t="s">
        <v>225</v>
      </c>
      <c r="E1" s="14"/>
      <c r="F1" s="25" t="s">
        <v>226</v>
      </c>
      <c r="G1" s="25" t="s">
        <v>227</v>
      </c>
      <c r="H1" s="32"/>
      <c r="I1" s="25" t="s">
        <v>228</v>
      </c>
      <c r="J1" s="25" t="s">
        <v>227</v>
      </c>
      <c r="K1" s="16"/>
      <c r="L1" s="16"/>
      <c r="M1" s="16"/>
    </row>
    <row r="2">
      <c r="A2" s="27"/>
      <c r="B2" s="27"/>
      <c r="C2" s="27"/>
      <c r="D2" s="48"/>
      <c r="E2" s="14"/>
      <c r="F2" s="26" t="s">
        <v>229</v>
      </c>
      <c r="G2" s="27"/>
      <c r="H2" s="27"/>
      <c r="I2" s="26" t="s">
        <v>230</v>
      </c>
      <c r="J2" s="27"/>
      <c r="K2" s="16"/>
      <c r="L2" s="16"/>
      <c r="M2" s="16"/>
    </row>
    <row r="3">
      <c r="A3" s="26">
        <v>1.0</v>
      </c>
      <c r="B3" s="26" t="s">
        <v>221</v>
      </c>
      <c r="C3" s="26" t="s">
        <v>231</v>
      </c>
      <c r="D3" s="49" t="s">
        <v>232</v>
      </c>
      <c r="E3" s="14"/>
      <c r="F3" s="50">
        <v>9.09090909E8</v>
      </c>
      <c r="G3" s="26" t="s">
        <v>233</v>
      </c>
      <c r="H3" s="27"/>
      <c r="I3" s="50">
        <v>5.55555556E8</v>
      </c>
      <c r="J3" s="26" t="s">
        <v>234</v>
      </c>
      <c r="K3" s="16"/>
      <c r="L3" s="16"/>
      <c r="M3" s="16"/>
    </row>
    <row r="4">
      <c r="A4" s="51" t="s">
        <v>235</v>
      </c>
      <c r="B4" s="13"/>
      <c r="C4" s="13"/>
      <c r="D4" s="13"/>
      <c r="E4" s="14"/>
      <c r="F4" s="27"/>
      <c r="G4" s="26" t="s">
        <v>236</v>
      </c>
      <c r="H4" s="27"/>
      <c r="I4" s="27"/>
      <c r="J4" s="26" t="s">
        <v>237</v>
      </c>
      <c r="K4" s="16"/>
      <c r="L4" s="16"/>
      <c r="M4" s="16"/>
    </row>
    <row r="5">
      <c r="A5" s="51" t="s">
        <v>238</v>
      </c>
      <c r="B5" s="13"/>
      <c r="C5" s="13"/>
      <c r="D5" s="13"/>
      <c r="E5" s="14"/>
      <c r="F5" s="27"/>
      <c r="G5" s="26" t="s">
        <v>239</v>
      </c>
      <c r="H5" s="27"/>
      <c r="I5" s="27"/>
      <c r="J5" s="26" t="s">
        <v>240</v>
      </c>
      <c r="K5" s="16"/>
      <c r="L5" s="16"/>
      <c r="M5" s="16"/>
    </row>
    <row r="6">
      <c r="A6" s="51" t="s">
        <v>241</v>
      </c>
      <c r="B6" s="13"/>
      <c r="C6" s="13"/>
      <c r="D6" s="13"/>
      <c r="E6" s="14"/>
      <c r="F6" s="27"/>
      <c r="G6" s="26" t="s">
        <v>190</v>
      </c>
      <c r="H6" s="27"/>
      <c r="I6" s="27"/>
      <c r="J6" s="26" t="s">
        <v>190</v>
      </c>
      <c r="K6" s="16"/>
      <c r="L6" s="16"/>
      <c r="M6" s="16"/>
    </row>
    <row r="7">
      <c r="A7" s="29" t="s">
        <v>242</v>
      </c>
      <c r="B7" s="13"/>
      <c r="C7" s="13"/>
      <c r="D7" s="13"/>
      <c r="E7" s="14"/>
      <c r="F7" s="32"/>
      <c r="G7" s="25" t="s">
        <v>243</v>
      </c>
      <c r="H7" s="32"/>
      <c r="I7" s="32"/>
      <c r="J7" s="25" t="s">
        <v>244</v>
      </c>
      <c r="K7" s="16"/>
      <c r="L7" s="16"/>
      <c r="M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>
      <c r="A10" s="15" t="s">
        <v>245</v>
      </c>
      <c r="B10" s="52">
        <v>-1.125809008E9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>
      <c r="A12" s="53" t="s">
        <v>246</v>
      </c>
      <c r="B12" s="14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>
      <c r="A13" s="54" t="s">
        <v>198</v>
      </c>
      <c r="B13" s="54" t="s">
        <v>152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>
      <c r="A14" s="54" t="s">
        <v>247</v>
      </c>
      <c r="B14" s="54" t="s">
        <v>231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>
      <c r="A15" s="55" t="s">
        <v>248</v>
      </c>
      <c r="B15" s="39">
        <v>0.0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>
      <c r="A17" s="56" t="s">
        <v>249</v>
      </c>
      <c r="B17" s="57" t="s">
        <v>250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>
      <c r="A18" s="25" t="s">
        <v>200</v>
      </c>
      <c r="B18" s="25">
        <v>1.0</v>
      </c>
      <c r="C18" s="25">
        <v>2.0</v>
      </c>
      <c r="D18" s="25">
        <v>3.0</v>
      </c>
      <c r="E18" s="25">
        <v>4.0</v>
      </c>
      <c r="F18" s="25">
        <v>5.0</v>
      </c>
      <c r="G18" s="25">
        <v>6.0</v>
      </c>
      <c r="H18" s="25">
        <v>7.0</v>
      </c>
      <c r="I18" s="25">
        <v>8.0</v>
      </c>
      <c r="J18" s="25">
        <v>9.0</v>
      </c>
      <c r="K18" s="25">
        <v>10.0</v>
      </c>
      <c r="L18" s="25">
        <v>11.0</v>
      </c>
      <c r="M18" s="25">
        <v>12.0</v>
      </c>
    </row>
    <row r="19">
      <c r="A19" s="58" t="s">
        <v>251</v>
      </c>
      <c r="B19" s="58" t="s">
        <v>152</v>
      </c>
      <c r="C19" s="58" t="s">
        <v>152</v>
      </c>
      <c r="D19" s="58" t="s">
        <v>152</v>
      </c>
      <c r="E19" s="58" t="s">
        <v>152</v>
      </c>
      <c r="F19" s="58" t="s">
        <v>152</v>
      </c>
      <c r="G19" s="58" t="s">
        <v>152</v>
      </c>
      <c r="H19" s="58" t="s">
        <v>152</v>
      </c>
      <c r="I19" s="58" t="s">
        <v>152</v>
      </c>
      <c r="J19" s="58" t="s">
        <v>152</v>
      </c>
      <c r="K19" s="58" t="s">
        <v>152</v>
      </c>
      <c r="L19" s="58" t="s">
        <v>152</v>
      </c>
      <c r="M19" s="58" t="s">
        <v>152</v>
      </c>
    </row>
    <row r="20">
      <c r="A20" s="58" t="s">
        <v>252</v>
      </c>
      <c r="B20" s="58" t="s">
        <v>152</v>
      </c>
      <c r="C20" s="58" t="s">
        <v>152</v>
      </c>
      <c r="D20" s="58" t="s">
        <v>152</v>
      </c>
      <c r="E20" s="58" t="s">
        <v>152</v>
      </c>
      <c r="F20" s="58" t="s">
        <v>152</v>
      </c>
      <c r="G20" s="58" t="s">
        <v>152</v>
      </c>
      <c r="H20" s="58" t="s">
        <v>152</v>
      </c>
      <c r="I20" s="58" t="s">
        <v>152</v>
      </c>
      <c r="J20" s="58" t="s">
        <v>152</v>
      </c>
      <c r="K20" s="58" t="s">
        <v>152</v>
      </c>
      <c r="L20" s="59" t="s">
        <v>152</v>
      </c>
      <c r="M20" s="59" t="s">
        <v>152</v>
      </c>
    </row>
  </sheetData>
  <mergeCells count="8">
    <mergeCell ref="D1:E1"/>
    <mergeCell ref="D2:E2"/>
    <mergeCell ref="D3:E3"/>
    <mergeCell ref="A4:E4"/>
    <mergeCell ref="A5:E5"/>
    <mergeCell ref="A6:E6"/>
    <mergeCell ref="A7:E7"/>
    <mergeCell ref="A12:B12"/>
  </mergeCells>
  <drawing r:id="rId1"/>
</worksheet>
</file>