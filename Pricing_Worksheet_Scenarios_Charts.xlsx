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27FC835-C9CC-4DF9-A73B-48940A7B7D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ra pakai" sheetId="4" r:id="rId1"/>
    <sheet name="Scenarios" sheetId="1" r:id="rId2"/>
    <sheet name="Inputs" sheetId="2" r:id="rId3"/>
    <sheet name="Pricing-Model" sheetId="3" r:id="rId4"/>
  </sheets>
  <calcPr calcId="191029"/>
</workbook>
</file>

<file path=xl/calcChain.xml><?xml version="1.0" encoding="utf-8"?>
<calcChain xmlns="http://schemas.openxmlformats.org/spreadsheetml/2006/main">
  <c r="B39" i="2" l="1"/>
  <c r="B45" i="2" s="1"/>
  <c r="B9" i="3" s="1"/>
  <c r="B38" i="2"/>
  <c r="B49" i="2" s="1"/>
  <c r="B10" i="3" s="1"/>
  <c r="B37" i="2"/>
  <c r="B44" i="2" s="1"/>
  <c r="B8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B36" i="2"/>
  <c r="B43" i="2" s="1"/>
  <c r="B7" i="3" s="1"/>
  <c r="B35" i="2"/>
  <c r="B42" i="2" s="1"/>
  <c r="B6" i="3" s="1"/>
  <c r="B34" i="2"/>
  <c r="B33" i="2"/>
  <c r="B22" i="2"/>
  <c r="B48" i="2" s="1"/>
  <c r="B5" i="3" s="1"/>
  <c r="B12" i="2"/>
  <c r="B47" i="2" l="1"/>
  <c r="B4" i="3" s="1"/>
  <c r="B15" i="3" s="1"/>
  <c r="B17" i="3"/>
  <c r="C26" i="3"/>
  <c r="D26" i="3" s="1"/>
  <c r="E26" i="3" s="1"/>
  <c r="C27" i="3"/>
  <c r="D27" i="3" s="1"/>
  <c r="E27" i="3" s="1"/>
  <c r="C28" i="3"/>
  <c r="D28" i="3" s="1"/>
  <c r="E28" i="3" s="1"/>
  <c r="E4" i="3" l="1"/>
  <c r="E5" i="3" s="1"/>
  <c r="F27" i="3"/>
  <c r="H27" i="3" s="1"/>
  <c r="F26" i="3"/>
  <c r="H26" i="3" s="1"/>
  <c r="F28" i="3"/>
  <c r="H28" i="3" s="1"/>
  <c r="G27" i="3"/>
  <c r="E6" i="3" l="1"/>
  <c r="B12" i="3" s="1"/>
  <c r="G26" i="3"/>
  <c r="G28" i="3"/>
  <c r="B13" i="3" l="1"/>
  <c r="E7" i="3"/>
  <c r="B19" i="3" s="1"/>
  <c r="E8" i="3"/>
  <c r="I5" i="3" s="1"/>
  <c r="B16" i="3"/>
  <c r="B18" i="3" s="1"/>
  <c r="B14" i="3"/>
  <c r="I12" i="3"/>
  <c r="I9" i="3"/>
  <c r="I7" i="3"/>
  <c r="B21" i="3"/>
  <c r="I14" i="3"/>
  <c r="I11" i="3"/>
  <c r="I8" i="3"/>
  <c r="I6" i="3"/>
  <c r="I4" i="3"/>
  <c r="I13" i="3"/>
  <c r="I10" i="3"/>
  <c r="I15" i="3"/>
  <c r="E9" i="3"/>
</calcChain>
</file>

<file path=xl/sharedStrings.xml><?xml version="1.0" encoding="utf-8"?>
<sst xmlns="http://schemas.openxmlformats.org/spreadsheetml/2006/main" count="128" uniqueCount="117">
  <si>
    <t>Scenario Manager (A/B/C)</t>
  </si>
  <si>
    <t>Nama</t>
  </si>
  <si>
    <t>VC per Unit</t>
  </si>
  <si>
    <t>FC per Bulan</t>
  </si>
  <si>
    <t>Fee %</t>
  </si>
  <si>
    <t>PPN %</t>
  </si>
  <si>
    <t>Target Margin % (atas P_net)</t>
  </si>
  <si>
    <t>Volume Target</t>
  </si>
  <si>
    <t>Diskon %</t>
  </si>
  <si>
    <t>A</t>
  </si>
  <si>
    <t>B</t>
  </si>
  <si>
    <t>C</t>
  </si>
  <si>
    <t>INPUTS — Rincian Biaya Tetap &amp; Variabel + Pilih Skenario</t>
  </si>
  <si>
    <t>Pilih Skenario (A/B/C)</t>
  </si>
  <si>
    <t>Variable Cost per Unit (editable)</t>
  </si>
  <si>
    <t>Item</t>
  </si>
  <si>
    <t>Biaya/Unit (Rp)</t>
  </si>
  <si>
    <t>Bahan baku</t>
  </si>
  <si>
    <t>Tenaga kerja langsung (TKL)</t>
  </si>
  <si>
    <t>Kemasan</t>
  </si>
  <si>
    <t>Logistik per unit</t>
  </si>
  <si>
    <t>Biaya variabel lain</t>
  </si>
  <si>
    <t>TOTAL VC / Unit (manual)</t>
  </si>
  <si>
    <t>Fixed Cost per Bulan (editable)</t>
  </si>
  <si>
    <t>Biaya/Bulan (Rp)</t>
  </si>
  <si>
    <t>Sewa</t>
  </si>
  <si>
    <t>Gaji staf tetap</t>
  </si>
  <si>
    <t>Penyusutan &amp; amortisasi</t>
  </si>
  <si>
    <t>Utilitas &amp; internet</t>
  </si>
  <si>
    <t>Asuransi &amp; perizinan</t>
  </si>
  <si>
    <t>Overhead tetap lain</t>
  </si>
  <si>
    <t>TOTAL FC / Bulan (manual)</t>
  </si>
  <si>
    <t>Parameter Komersial</t>
  </si>
  <si>
    <t>Fee kanal (%)</t>
  </si>
  <si>
    <t>PPN (%)</t>
  </si>
  <si>
    <t>Target margin (%) atas P_net</t>
  </si>
  <si>
    <t>Volume target (unit/bulan)</t>
  </si>
  <si>
    <t>Diskon (%)</t>
  </si>
  <si>
    <t>Terpilih dari Scenario Manager (otomatis)</t>
  </si>
  <si>
    <t>VC/Unit (scenario)</t>
  </si>
  <si>
    <t>FC/Bulan (scenario)</t>
  </si>
  <si>
    <t>Fee% (scenario)</t>
  </si>
  <si>
    <t>PPN% (scenario)</t>
  </si>
  <si>
    <t>Margin% (scenario)</t>
  </si>
  <si>
    <t>Volume (scenario)</t>
  </si>
  <si>
    <t>Diskon% (scenario)</t>
  </si>
  <si>
    <t>Helper</t>
  </si>
  <si>
    <t>Fee (desimal)</t>
  </si>
  <si>
    <t>PPN (desimal)</t>
  </si>
  <si>
    <t>Margin (desimal)</t>
  </si>
  <si>
    <t>Diskon (desimal)</t>
  </si>
  <si>
    <t>VC pilih (manual jika ada, else scenario)</t>
  </si>
  <si>
    <t>FC pilih (manual jika ada, else scenario)</t>
  </si>
  <si>
    <t>Volume pilih (manual jika ada, else scenario)</t>
  </si>
  <si>
    <t>PRICING MODEL — VC/FC + Diskon + BEP + Profit vs Volume</t>
  </si>
  <si>
    <t>Ringkasan Biaya &amp; Parameter (terpilih)</t>
  </si>
  <si>
    <t>Cost-Plus (P_net list) &amp; Transaksional</t>
  </si>
  <si>
    <t>Volume</t>
  </si>
  <si>
    <t>Profit (Rp)</t>
  </si>
  <si>
    <t>Zero</t>
  </si>
  <si>
    <t>Variable Cost / Unit (VC)</t>
  </si>
  <si>
    <t>P_net (list)</t>
  </si>
  <si>
    <t>Fixed Cost / Bulan (FC)</t>
  </si>
  <si>
    <t>P_gross (list)</t>
  </si>
  <si>
    <t>P_net (transaksional) = P_net*(1-diskon)</t>
  </si>
  <si>
    <t>P_gross (transaksi) = P_net(tx)*(1+PPN)</t>
  </si>
  <si>
    <t>Margin (desimal) atas P_net</t>
  </si>
  <si>
    <t>CM/unit = P_net(tx)*(1-fee) − VC</t>
  </si>
  <si>
    <t>BEP (unit/bulan) = FC / CM</t>
  </si>
  <si>
    <t>Unit Economics (berdasarkan harga transaksional)</t>
  </si>
  <si>
    <t>P_net (tx)</t>
  </si>
  <si>
    <t>Fee nominal/unit</t>
  </si>
  <si>
    <t>Revenue setelah fee</t>
  </si>
  <si>
    <t>Variable Cost (VC)</t>
  </si>
  <si>
    <t>Contribution Margin (CM)</t>
  </si>
  <si>
    <t>Alokasi FC per unit</t>
  </si>
  <si>
    <t>Operating Profit per unit</t>
  </si>
  <si>
    <t>P_gross (tx)</t>
  </si>
  <si>
    <t>Laba/bln @ volume target</t>
  </si>
  <si>
    <t>SKENARIO HARGA (isi P_gross list &amp; Diskon %)</t>
  </si>
  <si>
    <t>P_net list</t>
  </si>
  <si>
    <t>CM/unit</t>
  </si>
  <si>
    <t>BEP (unit)</t>
  </si>
  <si>
    <t>1) Scenario Manager (A/B/C)</t>
  </si>
  <si>
    <r>
      <t xml:space="preserve">Buka sheet </t>
    </r>
    <r>
      <rPr>
        <b/>
        <sz val="11"/>
        <color theme="1"/>
        <rFont val="Calibri"/>
        <family val="2"/>
        <scheme val="minor"/>
      </rPr>
      <t>“Scenarios”</t>
    </r>
    <r>
      <rPr>
        <sz val="11"/>
        <color theme="1"/>
        <rFont val="Calibri"/>
        <family val="2"/>
        <scheme val="minor"/>
      </rPr>
      <t xml:space="preserve">: ada tiga skenario default (A/B/C) berisi </t>
    </r>
    <r>
      <rPr>
        <b/>
        <sz val="11"/>
        <color theme="1"/>
        <rFont val="Calibri"/>
        <family val="2"/>
        <scheme val="minor"/>
      </rPr>
      <t>VC/unit, FC/bulan, fee%, PPN%, target margin%, volume target, dan Diskon%</t>
    </r>
    <r>
      <rPr>
        <sz val="11"/>
        <color theme="1"/>
        <rFont val="Calibri"/>
        <family val="2"/>
        <scheme val="minor"/>
      </rPr>
      <t>.</t>
    </r>
  </si>
  <si>
    <r>
      <t xml:space="preserve">Di sheet </t>
    </r>
    <r>
      <rPr>
        <b/>
        <sz val="11"/>
        <color theme="1"/>
        <rFont val="Calibri"/>
        <family val="2"/>
        <scheme val="minor"/>
      </rPr>
      <t>“Inputs”</t>
    </r>
    <r>
      <rPr>
        <sz val="11"/>
        <color theme="1"/>
        <rFont val="Calibri"/>
        <family val="2"/>
        <scheme val="minor"/>
      </rPr>
      <t xml:space="preserve">, pilih skenario di sel </t>
    </r>
    <r>
      <rPr>
        <b/>
        <sz val="11"/>
        <color theme="1"/>
        <rFont val="Calibri"/>
        <family val="2"/>
        <scheme val="minor"/>
      </rPr>
      <t>B3</t>
    </r>
    <r>
      <rPr>
        <sz val="11"/>
        <color theme="1"/>
        <rFont val="Calibri"/>
        <family val="2"/>
        <scheme val="minor"/>
      </rPr>
      <t xml:space="preserve"> (dropdown). Semua parameter otomatis tersalin ke bagian bawah “Terpilih dari Scenario Manager”.</t>
    </r>
  </si>
  <si>
    <r>
      <t xml:space="preserve">Kamu tetap bisa isi </t>
    </r>
    <r>
      <rPr>
        <b/>
        <sz val="11"/>
        <color theme="1"/>
        <rFont val="Calibri"/>
        <family val="2"/>
        <scheme val="minor"/>
      </rPr>
      <t>biaya manual</t>
    </r>
    <r>
      <rPr>
        <sz val="11"/>
        <color theme="1"/>
        <rFont val="Calibri"/>
        <family val="2"/>
        <scheme val="minor"/>
      </rPr>
      <t xml:space="preserve"> (VC/FC rinci). Model akan </t>
    </r>
    <r>
      <rPr>
        <b/>
        <sz val="11"/>
        <color theme="1"/>
        <rFont val="Calibri"/>
        <family val="2"/>
        <scheme val="minor"/>
      </rPr>
      <t>mengutamakan angka manual</t>
    </r>
    <r>
      <rPr>
        <sz val="11"/>
        <color theme="1"/>
        <rFont val="Calibri"/>
        <family val="2"/>
        <scheme val="minor"/>
      </rPr>
      <t xml:space="preserve"> jika diisi (otomatis mem-bypass skenario).</t>
    </r>
  </si>
  <si>
    <t>2) Parameter Diskon/Promo</t>
  </si>
  <si>
    <r>
      <t xml:space="preserve">Diskon (%) ada di skenario dan bisa ditimpa manual di </t>
    </r>
    <r>
      <rPr>
        <b/>
        <sz val="11"/>
        <color theme="1"/>
        <rFont val="Calibri"/>
        <family val="2"/>
        <scheme val="minor"/>
      </rPr>
      <t>Inputs → Parameter Komersial</t>
    </r>
    <r>
      <rPr>
        <sz val="11"/>
        <color theme="1"/>
        <rFont val="Calibri"/>
        <family val="2"/>
        <scheme val="minor"/>
      </rPr>
      <t>.</t>
    </r>
  </si>
  <si>
    <r>
      <t xml:space="preserve">Di sheet </t>
    </r>
    <r>
      <rPr>
        <b/>
        <sz val="11"/>
        <color theme="1"/>
        <rFont val="Calibri"/>
        <family val="2"/>
        <scheme val="minor"/>
      </rPr>
      <t>“Pricing-Model”</t>
    </r>
    <r>
      <rPr>
        <sz val="11"/>
        <color theme="1"/>
        <rFont val="Calibri"/>
        <family val="2"/>
        <scheme val="minor"/>
      </rPr>
      <t>:</t>
    </r>
  </si>
  <si>
    <r>
      <t>P_net (list)</t>
    </r>
    <r>
      <rPr>
        <sz val="11"/>
        <color theme="1"/>
        <rFont val="Calibri"/>
        <family val="2"/>
        <scheme val="minor"/>
      </rPr>
      <t>: harga neto sebelum diskon.</t>
    </r>
  </si>
  <si>
    <r>
      <t>P_net (transaksi)</t>
    </r>
    <r>
      <rPr>
        <sz val="11"/>
        <color theme="1"/>
        <rFont val="Calibri"/>
        <family val="2"/>
        <scheme val="minor"/>
      </rPr>
      <t xml:space="preserve">: </t>
    </r>
    <r>
      <rPr>
        <b/>
        <sz val="11"/>
        <color theme="1"/>
        <rFont val="Calibri"/>
        <family val="2"/>
        <scheme val="minor"/>
      </rPr>
      <t>P_net(list) × (1 − diskon)</t>
    </r>
    <r>
      <rPr>
        <sz val="11"/>
        <color theme="1"/>
        <rFont val="Calibri"/>
        <family val="2"/>
        <scheme val="minor"/>
      </rPr>
      <t xml:space="preserve"> → harga real untuk hitung margin.</t>
    </r>
  </si>
  <si>
    <r>
      <t>CM/unit</t>
    </r>
    <r>
      <rPr>
        <sz val="11"/>
        <color theme="1"/>
        <rFont val="Calibri"/>
        <family val="2"/>
        <scheme val="minor"/>
      </rPr>
      <t xml:space="preserve"> menggunakan </t>
    </r>
    <r>
      <rPr>
        <b/>
        <sz val="11"/>
        <color theme="1"/>
        <rFont val="Calibri"/>
        <family val="2"/>
        <scheme val="minor"/>
      </rPr>
      <t>P_net (transaksi)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P_net(tx) × (1 − fee) − VC</t>
    </r>
    <r>
      <rPr>
        <sz val="11"/>
        <color theme="1"/>
        <rFont val="Calibri"/>
        <family val="2"/>
        <scheme val="minor"/>
      </rPr>
      <t>.</t>
    </r>
  </si>
  <si>
    <r>
      <t>BEP (unit)</t>
    </r>
    <r>
      <rPr>
        <sz val="11"/>
        <color theme="1"/>
        <rFont val="Calibri"/>
        <family val="2"/>
        <scheme val="minor"/>
      </rPr>
      <t xml:space="preserve"> = </t>
    </r>
    <r>
      <rPr>
        <b/>
        <sz val="11"/>
        <color theme="1"/>
        <rFont val="Calibri"/>
        <family val="2"/>
        <scheme val="minor"/>
      </rPr>
      <t>FC / CM</t>
    </r>
    <r>
      <rPr>
        <sz val="11"/>
        <color theme="1"/>
        <rFont val="Calibri"/>
        <family val="2"/>
        <scheme val="minor"/>
      </rPr>
      <t xml:space="preserve"> (berbasis harga setelah diskon).</t>
    </r>
  </si>
  <si>
    <t>3) Grafik BEP &amp; Profit vs Volume</t>
  </si>
  <si>
    <r>
      <t xml:space="preserve">Di </t>
    </r>
    <r>
      <rPr>
        <b/>
        <sz val="11"/>
        <color theme="1"/>
        <rFont val="Calibri"/>
        <family val="2"/>
        <scheme val="minor"/>
      </rPr>
      <t>“Pricing-Model”</t>
    </r>
    <r>
      <rPr>
        <sz val="11"/>
        <color theme="1"/>
        <rFont val="Calibri"/>
        <family val="2"/>
        <scheme val="minor"/>
      </rPr>
      <t>, area kanan:</t>
    </r>
  </si>
  <si>
    <t>Tabel “Volume” (H4:H15) otomatis membuat titik volume dari 0 hingga ≈2×volume target.</t>
  </si>
  <si>
    <r>
      <t xml:space="preserve">“Profit (Rp)” (I4:I15) = </t>
    </r>
    <r>
      <rPr>
        <b/>
        <sz val="11"/>
        <color theme="1"/>
        <rFont val="Calibri"/>
        <family val="2"/>
        <scheme val="minor"/>
      </rPr>
      <t>CM(tx) × Volume − FC</t>
    </r>
    <r>
      <rPr>
        <sz val="11"/>
        <color theme="1"/>
        <rFont val="Calibri"/>
        <family val="2"/>
        <scheme val="minor"/>
      </rPr>
      <t xml:space="preserve"> (menggunakan harga &amp; diskon aktif).</t>
    </r>
  </si>
  <si>
    <t>“Zero” (J4:J15) = 0 sebagai garis acuan.</t>
  </si>
  <si>
    <r>
      <t>Line chart</t>
    </r>
    <r>
      <rPr>
        <sz val="11"/>
        <color theme="1"/>
        <rFont val="Calibri"/>
        <family val="2"/>
        <scheme val="minor"/>
      </rPr>
      <t xml:space="preserve"> “Profit vs Volume” menampilkan kurva profit dan garis nol — titik potong adalah </t>
    </r>
    <r>
      <rPr>
        <b/>
        <sz val="11"/>
        <color theme="1"/>
        <rFont val="Calibri"/>
        <family val="2"/>
        <scheme val="minor"/>
      </rPr>
      <t>BEP</t>
    </r>
    <r>
      <rPr>
        <sz val="11"/>
        <color theme="1"/>
        <rFont val="Calibri"/>
        <family val="2"/>
        <scheme val="minor"/>
      </rPr>
      <t>.</t>
    </r>
  </si>
  <si>
    <r>
      <t xml:space="preserve">Ubah </t>
    </r>
    <r>
      <rPr>
        <b/>
        <sz val="11"/>
        <color theme="1"/>
        <rFont val="Calibri"/>
        <family val="2"/>
        <scheme val="minor"/>
      </rPr>
      <t>diskon / fee / VC / FC / volume</t>
    </r>
    <r>
      <rPr>
        <sz val="11"/>
        <color theme="1"/>
        <rFont val="Calibri"/>
        <family val="2"/>
        <scheme val="minor"/>
      </rPr>
      <t xml:space="preserve"> → kurva &amp; BEP berpindah otomatis.</t>
    </r>
  </si>
  <si>
    <t>4) Cost-Plus &amp; Unit Economics (sudah menyesuaikan diskon)</t>
  </si>
  <si>
    <r>
      <t>Cost-Plus (P_net list)</t>
    </r>
    <r>
      <rPr>
        <sz val="11"/>
        <color theme="1"/>
        <rFont val="Calibri"/>
        <family val="2"/>
        <scheme val="minor"/>
      </rPr>
      <t xml:space="preserve"> menghitung P_net berdasarkan </t>
    </r>
    <r>
      <rPr>
        <b/>
        <sz val="11"/>
        <color theme="1"/>
        <rFont val="Calibri"/>
        <family val="2"/>
        <scheme val="minor"/>
      </rPr>
      <t>margin target</t>
    </r>
    <r>
      <rPr>
        <sz val="11"/>
        <color theme="1"/>
        <rFont val="Calibri"/>
        <family val="2"/>
        <scheme val="minor"/>
      </rPr>
      <t xml:space="preserve"> yang kamu set, tanpa diskon.</t>
    </r>
  </si>
  <si>
    <r>
      <t xml:space="preserve">Harga </t>
    </r>
    <r>
      <rPr>
        <b/>
        <sz val="11"/>
        <color theme="1"/>
        <rFont val="Calibri"/>
        <family val="2"/>
        <scheme val="minor"/>
      </rPr>
      <t>transaksional</t>
    </r>
    <r>
      <rPr>
        <sz val="11"/>
        <color theme="1"/>
        <rFont val="Calibri"/>
        <family val="2"/>
        <scheme val="minor"/>
      </rPr>
      <t xml:space="preserve"> (setelah diskon) dipakai untuk CM, BEP, dan profit.</t>
    </r>
  </si>
  <si>
    <r>
      <t>Laba/bln @ volume target</t>
    </r>
    <r>
      <rPr>
        <sz val="11"/>
        <color theme="1"/>
        <rFont val="Calibri"/>
        <family val="2"/>
        <scheme val="minor"/>
      </rPr>
      <t xml:space="preserve"> = </t>
    </r>
    <r>
      <rPr>
        <b/>
        <sz val="11"/>
        <color theme="1"/>
        <rFont val="Calibri"/>
        <family val="2"/>
        <scheme val="minor"/>
      </rPr>
      <t>CM(tx) × Volume target − FC</t>
    </r>
    <r>
      <rPr>
        <sz val="11"/>
        <color theme="1"/>
        <rFont val="Calibri"/>
        <family val="2"/>
        <scheme val="minor"/>
      </rPr>
      <t>.</t>
    </r>
  </si>
  <si>
    <t>5) Tabel Skenario Harga dengan Diskon</t>
  </si>
  <si>
    <r>
      <t xml:space="preserve">Di bagian </t>
    </r>
    <r>
      <rPr>
        <b/>
        <sz val="11"/>
        <color theme="1"/>
        <rFont val="Calibri"/>
        <family val="2"/>
        <scheme val="minor"/>
      </rPr>
      <t>“SKENARIO HARGA”</t>
    </r>
    <r>
      <rPr>
        <sz val="11"/>
        <color theme="1"/>
        <rFont val="Calibri"/>
        <family val="2"/>
        <scheme val="minor"/>
      </rPr>
      <t xml:space="preserve"> (baris 26+), isi </t>
    </r>
    <r>
      <rPr>
        <b/>
        <sz val="11"/>
        <color theme="1"/>
        <rFont val="Calibri"/>
        <family val="2"/>
        <scheme val="minor"/>
      </rPr>
      <t>P_gross (list)</t>
    </r>
    <r>
      <rPr>
        <sz val="11"/>
        <color theme="1"/>
        <rFont val="Calibri"/>
        <family val="2"/>
        <scheme val="minor"/>
      </rPr>
      <t xml:space="preserve"> dan </t>
    </r>
    <r>
      <rPr>
        <b/>
        <sz val="11"/>
        <color theme="1"/>
        <rFont val="Calibri"/>
        <family val="2"/>
        <scheme val="minor"/>
      </rPr>
      <t>Diskon %</t>
    </r>
    <r>
      <rPr>
        <sz val="11"/>
        <color theme="1"/>
        <rFont val="Calibri"/>
        <family val="2"/>
        <scheme val="minor"/>
      </rPr>
      <t xml:space="preserve"> per baris.</t>
    </r>
  </si>
  <si>
    <t>Workbook otomatis hitung:</t>
  </si>
  <si>
    <r>
      <t>P_net list</t>
    </r>
    <r>
      <rPr>
        <sz val="11"/>
        <color theme="1"/>
        <rFont val="Calibri"/>
        <family val="2"/>
        <scheme val="minor"/>
      </rPr>
      <t xml:space="preserve"> (dari PPN),</t>
    </r>
  </si>
  <si>
    <r>
      <t>P_net transaksi</t>
    </r>
    <r>
      <rPr>
        <sz val="11"/>
        <color theme="1"/>
        <rFont val="Calibri"/>
        <family val="2"/>
        <scheme val="minor"/>
      </rPr>
      <t xml:space="preserve"> (setelah diskon),</t>
    </r>
  </si>
  <si>
    <r>
      <t>Revenue setelah fee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CM/unit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BEP</t>
    </r>
    <r>
      <rPr>
        <sz val="11"/>
        <color theme="1"/>
        <rFont val="Calibri"/>
        <family val="2"/>
        <scheme val="minor"/>
      </rPr>
      <t xml:space="preserve">, dan </t>
    </r>
    <r>
      <rPr>
        <b/>
        <sz val="11"/>
        <color theme="1"/>
        <rFont val="Calibri"/>
        <family val="2"/>
        <scheme val="minor"/>
      </rPr>
      <t>Laba/bln</t>
    </r>
    <r>
      <rPr>
        <sz val="11"/>
        <color theme="1"/>
        <rFont val="Calibri"/>
        <family val="2"/>
        <scheme val="minor"/>
      </rPr>
      <t xml:space="preserve"> (sesuai volume target aktif).</t>
    </r>
  </si>
  <si>
    <t>Tips pakai cepat</t>
  </si>
  <si>
    <r>
      <t xml:space="preserve">1. Pilih skenario di </t>
    </r>
    <r>
      <rPr>
        <b/>
        <sz val="11"/>
        <color theme="1"/>
        <rFont val="Calibri"/>
        <family val="2"/>
        <scheme val="minor"/>
      </rPr>
      <t>Inputs!B3</t>
    </r>
    <r>
      <rPr>
        <sz val="11"/>
        <color theme="1"/>
        <rFont val="Calibri"/>
        <family val="2"/>
        <scheme val="minor"/>
      </rPr>
      <t xml:space="preserve"> → cek ringkasan &amp; harga di </t>
    </r>
    <r>
      <rPr>
        <b/>
        <sz val="11"/>
        <color theme="1"/>
        <rFont val="Calibri"/>
        <family val="2"/>
        <scheme val="minor"/>
      </rPr>
      <t>Pricing-Model</t>
    </r>
    <r>
      <rPr>
        <sz val="11"/>
        <color theme="1"/>
        <rFont val="Calibri"/>
        <family val="2"/>
        <scheme val="minor"/>
      </rPr>
      <t>.</t>
    </r>
  </si>
  <si>
    <r>
      <t xml:space="preserve">2. Uji </t>
    </r>
    <r>
      <rPr>
        <b/>
        <sz val="11"/>
        <color theme="1"/>
        <rFont val="Calibri"/>
        <family val="2"/>
        <scheme val="minor"/>
      </rPr>
      <t>Diskon%</t>
    </r>
    <r>
      <rPr>
        <sz val="11"/>
        <color theme="1"/>
        <rFont val="Calibri"/>
        <family val="2"/>
        <scheme val="minor"/>
      </rPr>
      <t xml:space="preserve"> di skenario atau manual (Inputs) untuk lihat dampaknya ke </t>
    </r>
    <r>
      <rPr>
        <b/>
        <sz val="11"/>
        <color theme="1"/>
        <rFont val="Calibri"/>
        <family val="2"/>
        <scheme val="minor"/>
      </rPr>
      <t>CM &amp; BEP</t>
    </r>
    <r>
      <rPr>
        <sz val="11"/>
        <color theme="1"/>
        <rFont val="Calibri"/>
        <family val="2"/>
        <scheme val="minor"/>
      </rPr>
      <t>.</t>
    </r>
  </si>
  <si>
    <r>
      <t xml:space="preserve">3. Coba beberapa </t>
    </r>
    <r>
      <rPr>
        <b/>
        <sz val="11"/>
        <color theme="1"/>
        <rFont val="Calibri"/>
        <family val="2"/>
        <scheme val="minor"/>
      </rPr>
      <t>harga ritel</t>
    </r>
    <r>
      <rPr>
        <sz val="11"/>
        <color theme="1"/>
        <rFont val="Calibri"/>
        <family val="2"/>
        <scheme val="minor"/>
      </rPr>
      <t xml:space="preserve"> di tabel skenario (kolom A) + </t>
    </r>
    <r>
      <rPr>
        <b/>
        <sz val="11"/>
        <color theme="1"/>
        <rFont val="Calibri"/>
        <family val="2"/>
        <scheme val="minor"/>
      </rPr>
      <t>Diskon%</t>
    </r>
    <r>
      <rPr>
        <sz val="11"/>
        <color theme="1"/>
        <rFont val="Calibri"/>
        <family val="2"/>
        <scheme val="minor"/>
      </rPr>
      <t xml:space="preserve"> (kolom B).</t>
    </r>
  </si>
  <si>
    <r>
      <t xml:space="preserve">4. Lihat grafik untuk gambaran visual </t>
    </r>
    <r>
      <rPr>
        <b/>
        <sz val="11"/>
        <color theme="1"/>
        <rFont val="Calibri"/>
        <family val="2"/>
        <scheme val="minor"/>
      </rPr>
      <t>profit vs volume</t>
    </r>
    <r>
      <rPr>
        <sz val="11"/>
        <color theme="1"/>
        <rFont val="Calibri"/>
        <family val="2"/>
        <scheme val="minor"/>
      </rPr>
      <t xml:space="preserve"> dan posisi </t>
    </r>
    <r>
      <rPr>
        <b/>
        <sz val="11"/>
        <color theme="1"/>
        <rFont val="Calibri"/>
        <family val="2"/>
        <scheme val="minor"/>
      </rPr>
      <t>BEP</t>
    </r>
    <r>
      <rPr>
        <sz val="11"/>
        <color theme="1"/>
        <rFont val="Calibri"/>
        <family val="2"/>
        <scheme val="minor"/>
      </rPr>
      <t>.</t>
    </r>
  </si>
  <si>
    <t>Berikut penjelasan detail cara pakai: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</si>
</sst>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0"/>
      <color theme="1"/>
      <name val="Arial Unicode MS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3" fillId="0" borderId="0" xfId="0" applyFont="1" applyAlignment="1">
      <alignment horizontal="left" vertical="center" indent="2"/>
    </xf>
    <xf numFmtId="0" fontId="0" fillId="0" borderId="0" xfId="0" applyAlignment="1">
      <alignment horizontal="left" vertical="center" indent="3"/>
    </xf>
    <xf numFmtId="0" fontId="3" fillId="0" borderId="0" xfId="0" applyFont="1" applyAlignment="1">
      <alignment horizontal="left" vertical="center" indent="1"/>
    </xf>
    <xf numFmtId="0" fontId="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Profit vs Volume (BEP ditandai dengan garis nol)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'Pricing-Model'!$I$3</c:f>
              <c:strCache>
                <c:ptCount val="1"/>
                <c:pt idx="0">
                  <c:v>Profit (Rp)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'Pricing-Model'!$H$4:$H$15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cat>
          <c:val>
            <c:numRef>
              <c:f>'Pricing-Model'!$I$4:$I$15</c:f>
              <c:numCache>
                <c:formatCode>General</c:formatCode>
                <c:ptCount val="12"/>
                <c:pt idx="0">
                  <c:v>-30000000</c:v>
                </c:pt>
                <c:pt idx="1">
                  <c:v>-30000000</c:v>
                </c:pt>
                <c:pt idx="2">
                  <c:v>-30000000</c:v>
                </c:pt>
                <c:pt idx="3">
                  <c:v>-30000000</c:v>
                </c:pt>
                <c:pt idx="4">
                  <c:v>-30000000</c:v>
                </c:pt>
                <c:pt idx="5">
                  <c:v>-30000000</c:v>
                </c:pt>
                <c:pt idx="6">
                  <c:v>-30000000</c:v>
                </c:pt>
                <c:pt idx="7">
                  <c:v>-30000000</c:v>
                </c:pt>
                <c:pt idx="8">
                  <c:v>-30000000</c:v>
                </c:pt>
                <c:pt idx="9">
                  <c:v>-30000000</c:v>
                </c:pt>
                <c:pt idx="10">
                  <c:v>-30000000</c:v>
                </c:pt>
                <c:pt idx="11">
                  <c:v>-30000000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96-43F0-A63D-B06276DF776D}"/>
            </c:ext>
          </c:extLst>
        </c:ser>
        <c:ser>
          <c:idx val="1"/>
          <c:order val="1"/>
          <c:tx>
            <c:strRef>
              <c:f>'Pricing-Model'!$J$3</c:f>
              <c:strCache>
                <c:ptCount val="1"/>
                <c:pt idx="0">
                  <c:v>Zero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'Pricing-Model'!$H$4:$H$15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cat>
          <c:val>
            <c:numRef>
              <c:f>'Pricing-Model'!$J$4:$J$15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96-43F0-A63D-B06276DF77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Volume (unit)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(Rp)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16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37C28-1B95-43F6-BEC5-E93ABA7DD129}">
  <dimension ref="C3:C78"/>
  <sheetViews>
    <sheetView tabSelected="1" workbookViewId="0">
      <selection activeCell="I18" sqref="I18"/>
    </sheetView>
  </sheetViews>
  <sheetFormatPr defaultRowHeight="14.4"/>
  <sheetData>
    <row r="3" spans="3:3">
      <c r="C3" t="s">
        <v>116</v>
      </c>
    </row>
    <row r="5" spans="3:3" ht="31.2">
      <c r="C5" s="4" t="s">
        <v>83</v>
      </c>
    </row>
    <row r="6" spans="3:3">
      <c r="C6" s="5"/>
    </row>
    <row r="7" spans="3:3">
      <c r="C7" s="5" t="s">
        <v>84</v>
      </c>
    </row>
    <row r="8" spans="3:3">
      <c r="C8" s="5"/>
    </row>
    <row r="9" spans="3:3">
      <c r="C9" s="5" t="s">
        <v>85</v>
      </c>
    </row>
    <row r="10" spans="3:3">
      <c r="C10" s="5"/>
    </row>
    <row r="11" spans="3:3">
      <c r="C11" s="5" t="s">
        <v>86</v>
      </c>
    </row>
    <row r="13" spans="3:3" ht="31.2">
      <c r="C13" s="4" t="s">
        <v>87</v>
      </c>
    </row>
    <row r="14" spans="3:3">
      <c r="C14" s="5"/>
    </row>
    <row r="15" spans="3:3">
      <c r="C15" s="5" t="s">
        <v>88</v>
      </c>
    </row>
    <row r="16" spans="3:3">
      <c r="C16" s="5"/>
    </row>
    <row r="17" spans="3:3">
      <c r="C17" s="5" t="s">
        <v>89</v>
      </c>
    </row>
    <row r="18" spans="3:3">
      <c r="C18" s="5"/>
    </row>
    <row r="19" spans="3:3">
      <c r="C19" s="5"/>
    </row>
    <row r="20" spans="3:3">
      <c r="C20" s="6"/>
    </row>
    <row r="21" spans="3:3">
      <c r="C21" s="7" t="s">
        <v>90</v>
      </c>
    </row>
    <row r="22" spans="3:3">
      <c r="C22" s="6"/>
    </row>
    <row r="23" spans="3:3">
      <c r="C23" s="7" t="s">
        <v>91</v>
      </c>
    </row>
    <row r="24" spans="3:3">
      <c r="C24" s="6"/>
    </row>
    <row r="25" spans="3:3">
      <c r="C25" s="7" t="s">
        <v>92</v>
      </c>
    </row>
    <row r="26" spans="3:3">
      <c r="C26" s="6"/>
    </row>
    <row r="27" spans="3:3">
      <c r="C27" s="7" t="s">
        <v>93</v>
      </c>
    </row>
    <row r="29" spans="3:3" ht="31.2">
      <c r="C29" s="4" t="s">
        <v>94</v>
      </c>
    </row>
    <row r="30" spans="3:3">
      <c r="C30" s="5"/>
    </row>
    <row r="31" spans="3:3">
      <c r="C31" s="5" t="s">
        <v>95</v>
      </c>
    </row>
    <row r="32" spans="3:3">
      <c r="C32" s="5"/>
    </row>
    <row r="33" spans="3:3">
      <c r="C33" s="5"/>
    </row>
    <row r="34" spans="3:3">
      <c r="C34" s="6"/>
    </row>
    <row r="35" spans="3:3">
      <c r="C35" s="6" t="s">
        <v>96</v>
      </c>
    </row>
    <row r="36" spans="3:3">
      <c r="C36" s="6"/>
    </row>
    <row r="37" spans="3:3">
      <c r="C37" s="6" t="s">
        <v>97</v>
      </c>
    </row>
    <row r="38" spans="3:3">
      <c r="C38" s="6"/>
    </row>
    <row r="39" spans="3:3">
      <c r="C39" s="6" t="s">
        <v>98</v>
      </c>
    </row>
    <row r="40" spans="3:3">
      <c r="C40" s="6"/>
    </row>
    <row r="41" spans="3:3">
      <c r="C41" s="7" t="s">
        <v>99</v>
      </c>
    </row>
    <row r="42" spans="3:3">
      <c r="C42" s="6"/>
    </row>
    <row r="43" spans="3:3">
      <c r="C43" s="6"/>
    </row>
    <row r="44" spans="3:3">
      <c r="C44" s="8"/>
    </row>
    <row r="45" spans="3:3">
      <c r="C45" s="8" t="s">
        <v>100</v>
      </c>
    </row>
    <row r="47" spans="3:3" ht="31.2">
      <c r="C47" s="4" t="s">
        <v>101</v>
      </c>
    </row>
    <row r="48" spans="3:3">
      <c r="C48" s="5"/>
    </row>
    <row r="49" spans="3:3">
      <c r="C49" s="9" t="s">
        <v>102</v>
      </c>
    </row>
    <row r="50" spans="3:3">
      <c r="C50" s="5"/>
    </row>
    <row r="51" spans="3:3">
      <c r="C51" s="5" t="s">
        <v>103</v>
      </c>
    </row>
    <row r="52" spans="3:3">
      <c r="C52" s="5"/>
    </row>
    <row r="53" spans="3:3">
      <c r="C53" s="9" t="s">
        <v>104</v>
      </c>
    </row>
    <row r="55" spans="3:3" ht="31.2">
      <c r="C55" s="4" t="s">
        <v>105</v>
      </c>
    </row>
    <row r="56" spans="3:3">
      <c r="C56" s="5"/>
    </row>
    <row r="57" spans="3:3">
      <c r="C57" s="5" t="s">
        <v>106</v>
      </c>
    </row>
    <row r="58" spans="3:3">
      <c r="C58" s="5" t="s">
        <v>107</v>
      </c>
    </row>
    <row r="59" spans="3:3">
      <c r="C59" s="5"/>
    </row>
    <row r="60" spans="3:3">
      <c r="C60" s="5"/>
    </row>
    <row r="61" spans="3:3">
      <c r="C61" s="6"/>
    </row>
    <row r="62" spans="3:3">
      <c r="C62" s="7" t="s">
        <v>108</v>
      </c>
    </row>
    <row r="63" spans="3:3">
      <c r="C63" s="6"/>
    </row>
    <row r="64" spans="3:3">
      <c r="C64" s="7" t="s">
        <v>109</v>
      </c>
    </row>
    <row r="65" spans="3:3">
      <c r="C65" s="6"/>
    </row>
    <row r="66" spans="3:3">
      <c r="C66" s="7" t="s">
        <v>110</v>
      </c>
    </row>
    <row r="70" spans="3:3" ht="23.4">
      <c r="C70" s="10" t="s">
        <v>111</v>
      </c>
    </row>
    <row r="71" spans="3:3">
      <c r="C71" s="5"/>
    </row>
    <row r="72" spans="3:3">
      <c r="C72" s="5" t="s">
        <v>112</v>
      </c>
    </row>
    <row r="73" spans="3:3">
      <c r="C73" s="5"/>
    </row>
    <row r="74" spans="3:3">
      <c r="C74" s="5" t="s">
        <v>113</v>
      </c>
    </row>
    <row r="75" spans="3:3">
      <c r="C75" s="5"/>
    </row>
    <row r="76" spans="3:3">
      <c r="C76" s="5" t="s">
        <v>114</v>
      </c>
    </row>
    <row r="77" spans="3:3">
      <c r="C77" s="5"/>
    </row>
    <row r="78" spans="3:3">
      <c r="C78" s="5" t="s">
        <v>115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workbookViewId="0">
      <selection activeCell="B5" sqref="B5"/>
    </sheetView>
  </sheetViews>
  <sheetFormatPr defaultRowHeight="14.4"/>
  <cols>
    <col min="1" max="9" width="24" customWidth="1"/>
  </cols>
  <sheetData>
    <row r="1" spans="1:8" ht="18">
      <c r="A1" s="1" t="s">
        <v>0</v>
      </c>
    </row>
    <row r="3" spans="1:8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>
      <c r="A4" t="s">
        <v>9</v>
      </c>
      <c r="B4">
        <v>155000</v>
      </c>
      <c r="C4">
        <v>30000000</v>
      </c>
      <c r="D4">
        <v>12</v>
      </c>
      <c r="E4">
        <v>11</v>
      </c>
      <c r="F4">
        <v>40</v>
      </c>
      <c r="G4">
        <v>300</v>
      </c>
      <c r="H4">
        <v>0</v>
      </c>
    </row>
    <row r="5" spans="1:8">
      <c r="A5" t="s">
        <v>10</v>
      </c>
      <c r="B5">
        <v>165000</v>
      </c>
      <c r="C5">
        <v>28000000</v>
      </c>
      <c r="D5">
        <v>10</v>
      </c>
      <c r="E5">
        <v>11</v>
      </c>
      <c r="F5">
        <v>35</v>
      </c>
      <c r="G5">
        <v>400</v>
      </c>
      <c r="H5">
        <v>5</v>
      </c>
    </row>
    <row r="6" spans="1:8">
      <c r="A6" t="s">
        <v>11</v>
      </c>
      <c r="B6">
        <v>140000</v>
      </c>
      <c r="C6">
        <v>35000000</v>
      </c>
      <c r="D6">
        <v>15</v>
      </c>
      <c r="E6">
        <v>11</v>
      </c>
      <c r="F6">
        <v>45</v>
      </c>
      <c r="G6">
        <v>250</v>
      </c>
      <c r="H6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9"/>
  <sheetViews>
    <sheetView topLeftCell="A14" workbookViewId="0">
      <selection activeCell="B34" sqref="B34"/>
    </sheetView>
  </sheetViews>
  <sheetFormatPr defaultRowHeight="14.4"/>
  <cols>
    <col min="1" max="5" width="34" customWidth="1"/>
  </cols>
  <sheetData>
    <row r="1" spans="1:2" ht="18">
      <c r="A1" s="1" t="s">
        <v>12</v>
      </c>
    </row>
    <row r="3" spans="1:2">
      <c r="A3" s="2" t="s">
        <v>13</v>
      </c>
      <c r="B3" t="s">
        <v>9</v>
      </c>
    </row>
    <row r="5" spans="1:2">
      <c r="A5" s="2" t="s">
        <v>14</v>
      </c>
    </row>
    <row r="6" spans="1:2">
      <c r="A6" s="2" t="s">
        <v>15</v>
      </c>
      <c r="B6" s="2" t="s">
        <v>16</v>
      </c>
    </row>
    <row r="7" spans="1:2">
      <c r="A7" t="s">
        <v>17</v>
      </c>
    </row>
    <row r="8" spans="1:2">
      <c r="A8" t="s">
        <v>18</v>
      </c>
    </row>
    <row r="9" spans="1:2">
      <c r="A9" t="s">
        <v>19</v>
      </c>
    </row>
    <row r="10" spans="1:2">
      <c r="A10" t="s">
        <v>20</v>
      </c>
    </row>
    <row r="11" spans="1:2">
      <c r="A11" t="s">
        <v>21</v>
      </c>
    </row>
    <row r="12" spans="1:2">
      <c r="A12" s="2" t="s">
        <v>22</v>
      </c>
      <c r="B12">
        <f>SUM(B7:B11)</f>
        <v>0</v>
      </c>
    </row>
    <row r="14" spans="1:2">
      <c r="A14" s="2" t="s">
        <v>23</v>
      </c>
    </row>
    <row r="15" spans="1:2">
      <c r="A15" s="2" t="s">
        <v>15</v>
      </c>
      <c r="B15" s="2" t="s">
        <v>24</v>
      </c>
    </row>
    <row r="16" spans="1:2">
      <c r="A16" t="s">
        <v>25</v>
      </c>
    </row>
    <row r="17" spans="1:2">
      <c r="A17" t="s">
        <v>26</v>
      </c>
    </row>
    <row r="18" spans="1:2">
      <c r="A18" t="s">
        <v>27</v>
      </c>
    </row>
    <row r="19" spans="1:2">
      <c r="A19" t="s">
        <v>28</v>
      </c>
    </row>
    <row r="20" spans="1:2">
      <c r="A20" t="s">
        <v>29</v>
      </c>
    </row>
    <row r="21" spans="1:2">
      <c r="A21" t="s">
        <v>30</v>
      </c>
    </row>
    <row r="22" spans="1:2">
      <c r="A22" s="2" t="s">
        <v>31</v>
      </c>
      <c r="B22">
        <f>SUM(B16:B21)</f>
        <v>0</v>
      </c>
    </row>
    <row r="24" spans="1:2">
      <c r="A24" s="2" t="s">
        <v>32</v>
      </c>
    </row>
    <row r="25" spans="1:2">
      <c r="A25" t="s">
        <v>33</v>
      </c>
    </row>
    <row r="26" spans="1:2">
      <c r="A26" t="s">
        <v>34</v>
      </c>
    </row>
    <row r="27" spans="1:2">
      <c r="A27" t="s">
        <v>35</v>
      </c>
    </row>
    <row r="28" spans="1:2">
      <c r="A28" t="s">
        <v>36</v>
      </c>
    </row>
    <row r="29" spans="1:2">
      <c r="A29" t="s">
        <v>37</v>
      </c>
    </row>
    <row r="32" spans="1:2">
      <c r="A32" s="2" t="s">
        <v>38</v>
      </c>
    </row>
    <row r="33" spans="1:2">
      <c r="A33" t="s">
        <v>39</v>
      </c>
      <c r="B33">
        <f>INDEX(Scenarios!$B$4:$B$6, MATCH($B$3, Scenarios!$A$4:$A$6, 0))</f>
        <v>155000</v>
      </c>
    </row>
    <row r="34" spans="1:2">
      <c r="A34" t="s">
        <v>40</v>
      </c>
      <c r="B34">
        <f>INDEX(Scenarios!$C$4:$C$6, MATCH($B$3, Scenarios!$A$4:$A$6, 0))</f>
        <v>30000000</v>
      </c>
    </row>
    <row r="35" spans="1:2">
      <c r="A35" t="s">
        <v>41</v>
      </c>
      <c r="B35">
        <f>INDEX(Scenarios!$D$4:$D$6, MATCH($B$3, Scenarios!$A$4:$A$6, 0))</f>
        <v>12</v>
      </c>
    </row>
    <row r="36" spans="1:2">
      <c r="A36" t="s">
        <v>42</v>
      </c>
      <c r="B36">
        <f>INDEX(Scenarios!$E$4:$E$6, MATCH($B$3, Scenarios!$A$4:$A$6, 0))</f>
        <v>11</v>
      </c>
    </row>
    <row r="37" spans="1:2">
      <c r="A37" t="s">
        <v>43</v>
      </c>
      <c r="B37">
        <f>INDEX(Scenarios!$F$4:$F$6, MATCH($B$3, Scenarios!$A$4:$A$6, 0))</f>
        <v>40</v>
      </c>
    </row>
    <row r="38" spans="1:2">
      <c r="A38" t="s">
        <v>44</v>
      </c>
      <c r="B38">
        <f>INDEX(Scenarios!$G$4:$G$6, MATCH($B$3, Scenarios!$A$4:$A$6, 0))</f>
        <v>300</v>
      </c>
    </row>
    <row r="39" spans="1:2">
      <c r="A39" t="s">
        <v>45</v>
      </c>
      <c r="B39">
        <f>INDEX(Scenarios!$H$4:$H$6, MATCH($B$3, Scenarios!$A$4:$A$6, 0))</f>
        <v>0</v>
      </c>
    </row>
    <row r="41" spans="1:2">
      <c r="A41" s="2" t="s">
        <v>46</v>
      </c>
    </row>
    <row r="42" spans="1:2">
      <c r="A42" t="s">
        <v>47</v>
      </c>
      <c r="B42">
        <f>IF(B27&lt;&gt;"", B27/100, B35/100)</f>
        <v>0.12</v>
      </c>
    </row>
    <row r="43" spans="1:2">
      <c r="A43" t="s">
        <v>48</v>
      </c>
      <c r="B43">
        <f>IF(B28&lt;&gt;"", B28/100, B36/100)</f>
        <v>0.11</v>
      </c>
    </row>
    <row r="44" spans="1:2">
      <c r="A44" t="s">
        <v>49</v>
      </c>
      <c r="B44">
        <f>IF(B29&lt;&gt;"", B29/100, B37/100)</f>
        <v>0.4</v>
      </c>
    </row>
    <row r="45" spans="1:2">
      <c r="A45" t="s">
        <v>50</v>
      </c>
      <c r="B45">
        <f>IF(B31&lt;&gt;"", B31/100, B39/100)</f>
        <v>0</v>
      </c>
    </row>
    <row r="47" spans="1:2">
      <c r="A47" t="s">
        <v>51</v>
      </c>
      <c r="B47">
        <f>IF(B12&lt;&gt;0,B12,B33)</f>
        <v>155000</v>
      </c>
    </row>
    <row r="48" spans="1:2">
      <c r="A48" t="s">
        <v>52</v>
      </c>
      <c r="B48">
        <f>IF(B22&lt;&gt;0,B22,B34)</f>
        <v>30000000</v>
      </c>
    </row>
    <row r="49" spans="1:2">
      <c r="A49" t="s">
        <v>53</v>
      </c>
      <c r="B49">
        <f>IF(B30&lt;&gt;"",B30,B38)</f>
        <v>300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DropDown="1" showInputMessage="1" showErrorMessage="1" xr:uid="{00000000-0002-0000-0100-000000000000}">
          <x14:formula1>
            <xm:f>Scenarios!$A$4:$A$6</xm:f>
          </x14:formula1>
          <xm:sqref>B3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8"/>
  <sheetViews>
    <sheetView topLeftCell="A2" workbookViewId="0">
      <selection activeCell="B4" sqref="B4"/>
    </sheetView>
  </sheetViews>
  <sheetFormatPr defaultRowHeight="14.4"/>
  <cols>
    <col min="1" max="13" width="26" customWidth="1"/>
  </cols>
  <sheetData>
    <row r="1" spans="1:10" ht="18">
      <c r="A1" s="1" t="s">
        <v>54</v>
      </c>
    </row>
    <row r="3" spans="1:10">
      <c r="A3" s="2" t="s">
        <v>55</v>
      </c>
      <c r="D3" s="2" t="s">
        <v>56</v>
      </c>
      <c r="H3" s="2" t="s">
        <v>57</v>
      </c>
      <c r="I3" s="2" t="s">
        <v>58</v>
      </c>
      <c r="J3" s="2" t="s">
        <v>59</v>
      </c>
    </row>
    <row r="4" spans="1:10">
      <c r="A4" t="s">
        <v>60</v>
      </c>
      <c r="B4">
        <f>Inputs!B47</f>
        <v>155000</v>
      </c>
      <c r="D4" t="s">
        <v>61</v>
      </c>
      <c r="E4">
        <f>B4/(1-B6-B5)</f>
        <v>-5.1666668182222264E-3</v>
      </c>
      <c r="H4">
        <v>0</v>
      </c>
      <c r="I4">
        <f t="shared" ref="I4:I15" si="0">$E$8*H4 - $B$5</f>
        <v>-30000000</v>
      </c>
      <c r="J4">
        <v>0</v>
      </c>
    </row>
    <row r="5" spans="1:10">
      <c r="A5" t="s">
        <v>62</v>
      </c>
      <c r="B5">
        <f>Inputs!B48</f>
        <v>30000000</v>
      </c>
      <c r="D5" t="s">
        <v>63</v>
      </c>
      <c r="E5">
        <f>E4*(1+B6)</f>
        <v>-5.7866668364088937E-3</v>
      </c>
      <c r="H5">
        <f>ROUND($B$8/5,0)</f>
        <v>0</v>
      </c>
      <c r="I5">
        <f t="shared" si="0"/>
        <v>-30000000</v>
      </c>
      <c r="J5">
        <v>0</v>
      </c>
    </row>
    <row r="6" spans="1:10">
      <c r="A6" t="s">
        <v>47</v>
      </c>
      <c r="B6">
        <f>Inputs!B42</f>
        <v>0.12</v>
      </c>
      <c r="D6" t="s">
        <v>64</v>
      </c>
      <c r="E6">
        <f>E4*(1-B7)</f>
        <v>-4.5983334682177818E-3</v>
      </c>
      <c r="H6">
        <f>H5+H5</f>
        <v>0</v>
      </c>
      <c r="I6">
        <f t="shared" si="0"/>
        <v>-30000000</v>
      </c>
      <c r="J6">
        <v>0</v>
      </c>
    </row>
    <row r="7" spans="1:10">
      <c r="A7" t="s">
        <v>48</v>
      </c>
      <c r="B7">
        <f>Inputs!B43</f>
        <v>0.11</v>
      </c>
      <c r="D7" t="s">
        <v>65</v>
      </c>
      <c r="E7">
        <f>E6*(1+B6)</f>
        <v>-5.1501334844039157E-3</v>
      </c>
      <c r="H7">
        <f>H6+H5</f>
        <v>0</v>
      </c>
      <c r="I7">
        <f t="shared" si="0"/>
        <v>-30000000</v>
      </c>
      <c r="J7">
        <v>0</v>
      </c>
    </row>
    <row r="8" spans="1:10">
      <c r="A8" t="s">
        <v>66</v>
      </c>
      <c r="B8">
        <f>Inputs!B44</f>
        <v>0.4</v>
      </c>
      <c r="D8" t="s">
        <v>67</v>
      </c>
      <c r="E8">
        <f>E6*(1-B5)-B4</f>
        <v>-17050.000551800011</v>
      </c>
      <c r="H8">
        <f>H7+H5</f>
        <v>0</v>
      </c>
      <c r="I8">
        <f t="shared" si="0"/>
        <v>-30000000</v>
      </c>
      <c r="J8">
        <v>0</v>
      </c>
    </row>
    <row r="9" spans="1:10">
      <c r="A9" t="s">
        <v>50</v>
      </c>
      <c r="B9">
        <f>Inputs!B45</f>
        <v>0</v>
      </c>
      <c r="D9" t="s">
        <v>68</v>
      </c>
      <c r="E9">
        <f>B5/E8</f>
        <v>-1759.5307348440424</v>
      </c>
      <c r="H9">
        <f>H8+H5</f>
        <v>0</v>
      </c>
      <c r="I9">
        <f t="shared" si="0"/>
        <v>-30000000</v>
      </c>
      <c r="J9">
        <v>0</v>
      </c>
    </row>
    <row r="10" spans="1:10">
      <c r="A10" t="s">
        <v>36</v>
      </c>
      <c r="B10">
        <f>Inputs!B49</f>
        <v>300</v>
      </c>
      <c r="H10">
        <f>H9+H5</f>
        <v>0</v>
      </c>
      <c r="I10">
        <f t="shared" si="0"/>
        <v>-30000000</v>
      </c>
      <c r="J10">
        <v>0</v>
      </c>
    </row>
    <row r="11" spans="1:10">
      <c r="A11" s="2" t="s">
        <v>69</v>
      </c>
      <c r="H11">
        <f>H10+H5</f>
        <v>0</v>
      </c>
      <c r="I11">
        <f t="shared" si="0"/>
        <v>-30000000</v>
      </c>
      <c r="J11">
        <v>0</v>
      </c>
    </row>
    <row r="12" spans="1:10">
      <c r="A12" t="s">
        <v>70</v>
      </c>
      <c r="B12">
        <f>E6</f>
        <v>-4.5983334682177818E-3</v>
      </c>
      <c r="H12">
        <f>H11+H5</f>
        <v>0</v>
      </c>
      <c r="I12">
        <f t="shared" si="0"/>
        <v>-30000000</v>
      </c>
      <c r="J12">
        <v>0</v>
      </c>
    </row>
    <row r="13" spans="1:10">
      <c r="A13" t="s">
        <v>71</v>
      </c>
      <c r="B13">
        <f>E6*B5</f>
        <v>-137950.00404653346</v>
      </c>
      <c r="H13">
        <f>H12+H5</f>
        <v>0</v>
      </c>
      <c r="I13">
        <f t="shared" si="0"/>
        <v>-30000000</v>
      </c>
      <c r="J13">
        <v>0</v>
      </c>
    </row>
    <row r="14" spans="1:10">
      <c r="A14" t="s">
        <v>72</v>
      </c>
      <c r="B14">
        <f>E6*(1-B5)</f>
        <v>137949.99944819999</v>
      </c>
      <c r="H14">
        <f>H13+H5</f>
        <v>0</v>
      </c>
      <c r="I14">
        <f t="shared" si="0"/>
        <v>-30000000</v>
      </c>
      <c r="J14">
        <v>0</v>
      </c>
    </row>
    <row r="15" spans="1:10">
      <c r="A15" t="s">
        <v>73</v>
      </c>
      <c r="B15">
        <f>B4</f>
        <v>155000</v>
      </c>
      <c r="H15">
        <f>H14+H5</f>
        <v>0</v>
      </c>
      <c r="I15">
        <f t="shared" si="0"/>
        <v>-30000000</v>
      </c>
      <c r="J15">
        <v>0</v>
      </c>
    </row>
    <row r="16" spans="1:10">
      <c r="A16" t="s">
        <v>74</v>
      </c>
      <c r="B16">
        <f>E6*(1-B5)-B4</f>
        <v>-17050.000551800011</v>
      </c>
    </row>
    <row r="17" spans="1:8">
      <c r="A17" t="s">
        <v>75</v>
      </c>
      <c r="B17">
        <f>B5/B8</f>
        <v>75000000</v>
      </c>
    </row>
    <row r="18" spans="1:8">
      <c r="A18" t="s">
        <v>76</v>
      </c>
      <c r="B18">
        <f>B16-B17</f>
        <v>-75017050.000551805</v>
      </c>
    </row>
    <row r="19" spans="1:8">
      <c r="A19" t="s">
        <v>77</v>
      </c>
      <c r="B19">
        <f>E7</f>
        <v>-5.1501334844039157E-3</v>
      </c>
    </row>
    <row r="21" spans="1:8">
      <c r="A21" t="s">
        <v>78</v>
      </c>
      <c r="B21">
        <f>E8*B8 - B5</f>
        <v>-30006820.00022072</v>
      </c>
    </row>
    <row r="24" spans="1:8">
      <c r="A24" s="2" t="s">
        <v>79</v>
      </c>
    </row>
    <row r="25" spans="1:8">
      <c r="A25" s="3" t="s">
        <v>63</v>
      </c>
      <c r="B25" s="3" t="s">
        <v>8</v>
      </c>
      <c r="C25" s="3" t="s">
        <v>80</v>
      </c>
      <c r="D25" s="3" t="s">
        <v>70</v>
      </c>
      <c r="E25" s="3" t="s">
        <v>72</v>
      </c>
      <c r="F25" s="3" t="s">
        <v>81</v>
      </c>
      <c r="G25" s="3" t="s">
        <v>82</v>
      </c>
      <c r="H25" s="3" t="s">
        <v>78</v>
      </c>
    </row>
    <row r="26" spans="1:8">
      <c r="A26">
        <v>359000</v>
      </c>
      <c r="B26">
        <v>0</v>
      </c>
      <c r="C26">
        <f>A26/(1+$B$6)</f>
        <v>320535.71428571426</v>
      </c>
      <c r="D26">
        <f>C26*(1-B26/100)</f>
        <v>320535.71428571426</v>
      </c>
      <c r="E26">
        <f>D26*(1-$B$5)</f>
        <v>-9616071108035.7129</v>
      </c>
      <c r="F26">
        <f>E26-$B$4</f>
        <v>-9616071263035.7129</v>
      </c>
      <c r="G26">
        <f>$B$5/F26</f>
        <v>-3.1197772124797308E-6</v>
      </c>
      <c r="H26">
        <f>F26*$B$8-$B$5</f>
        <v>-3846458505214.2852</v>
      </c>
    </row>
    <row r="27" spans="1:8">
      <c r="A27">
        <v>365000</v>
      </c>
      <c r="B27">
        <v>0</v>
      </c>
      <c r="C27">
        <f>A27/(1+$B$6)</f>
        <v>325892.8571428571</v>
      </c>
      <c r="D27">
        <f>C27*(1-B27/100)</f>
        <v>325892.8571428571</v>
      </c>
      <c r="E27">
        <f>D27*(1-$B$5)</f>
        <v>-9776785388392.8555</v>
      </c>
      <c r="F27">
        <f>E27-$B$4</f>
        <v>-9776785543392.8555</v>
      </c>
      <c r="G27">
        <f>$B$5/F27</f>
        <v>-3.068493204320512E-6</v>
      </c>
      <c r="H27">
        <f>F27*$B$8-$B$5</f>
        <v>-3910744217357.1426</v>
      </c>
    </row>
    <row r="28" spans="1:8">
      <c r="A28">
        <v>399000</v>
      </c>
      <c r="B28">
        <v>5</v>
      </c>
      <c r="C28">
        <f>A28/(1+$B$6)</f>
        <v>356249.99999999994</v>
      </c>
      <c r="D28">
        <f>C28*(1-B28/100)</f>
        <v>338437.49999999994</v>
      </c>
      <c r="E28">
        <f>D28*(1-$B$5)</f>
        <v>-10153124661562.498</v>
      </c>
      <c r="F28">
        <f>E28-$B$4</f>
        <v>-10153124816562.498</v>
      </c>
      <c r="G28">
        <f>$B$5/F28</f>
        <v>-2.9547553627098006E-6</v>
      </c>
      <c r="H28">
        <f>F28*$B$8-$B$5</f>
        <v>-4061279926624.9995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cara pakai</vt:lpstr>
      <vt:lpstr>Scenarios</vt:lpstr>
      <vt:lpstr>Inputs</vt:lpstr>
      <vt:lpstr>Pricing-Model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2025-10-15T07:08:45Z</dcterms:created>
  <dcterms:modified xsi:type="dcterms:W3CDTF">2025-10-16T01:09:34Z</dcterms:modified>
</cp:coreProperties>
</file>